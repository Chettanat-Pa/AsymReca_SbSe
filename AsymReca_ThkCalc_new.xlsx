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AsymReca_SbSe\"/>
    </mc:Choice>
  </mc:AlternateContent>
  <xr:revisionPtr revIDLastSave="0" documentId="13_ncr:1_{05B1F466-F4E1-4292-B996-181F5C211E0F}" xr6:coauthVersionLast="47" xr6:coauthVersionMax="47" xr10:uidLastSave="{00000000-0000-0000-0000-000000000000}"/>
  <bookViews>
    <workbookView xWindow="-28200" yWindow="5265" windowWidth="28320" windowHeight="16440" activeTab="2" xr2:uid="{00000000-000D-0000-FFFF-FFFF00000000}"/>
  </bookViews>
  <sheets>
    <sheet name="532_back" sheetId="15" r:id="rId1"/>
    <sheet name="1064_back" sheetId="13" r:id="rId2"/>
    <sheet name="1550_back" sheetId="14" r:id="rId3"/>
    <sheet name="532" sheetId="8" r:id="rId4"/>
    <sheet name="600" sheetId="10" r:id="rId5"/>
    <sheet name="700" sheetId="11" r:id="rId6"/>
    <sheet name="800" sheetId="12" r:id="rId7"/>
    <sheet name="1064" sheetId="9" r:id="rId8"/>
    <sheet name="Amorphous phase" sheetId="7" state="hidden" r:id="rId9"/>
    <sheet name="Crystalline" sheetId="4" r:id="rId10"/>
    <sheet name="Sheet2" sheetId="5" state="hidden" r:id="rId11"/>
    <sheet name="Sheet3" sheetId="6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4" l="1"/>
  <c r="O3" i="14"/>
  <c r="L3" i="14"/>
  <c r="I3" i="14"/>
  <c r="H3" i="14"/>
  <c r="R4" i="14"/>
  <c r="O4" i="14"/>
  <c r="L4" i="14"/>
  <c r="H4" i="14"/>
  <c r="I4" i="14" s="1"/>
  <c r="H31" i="13"/>
  <c r="L27" i="13"/>
  <c r="L28" i="13"/>
  <c r="L29" i="13"/>
  <c r="L30" i="13"/>
  <c r="L31" i="13"/>
  <c r="R27" i="13"/>
  <c r="R28" i="13"/>
  <c r="R29" i="13"/>
  <c r="R30" i="13"/>
  <c r="R31" i="13"/>
  <c r="O27" i="13"/>
  <c r="O28" i="13"/>
  <c r="O29" i="13"/>
  <c r="O30" i="13"/>
  <c r="O31" i="13"/>
  <c r="H30" i="13"/>
  <c r="H29" i="13"/>
  <c r="H28" i="13"/>
  <c r="H27" i="13"/>
  <c r="H25" i="13"/>
  <c r="H24" i="13"/>
  <c r="H23" i="13"/>
  <c r="H22" i="13"/>
  <c r="H21" i="13"/>
  <c r="H19" i="13"/>
  <c r="L23" i="13"/>
  <c r="O23" i="13"/>
  <c r="R23" i="13"/>
  <c r="L24" i="13"/>
  <c r="O24" i="13"/>
  <c r="R24" i="13"/>
  <c r="L25" i="13"/>
  <c r="O25" i="13"/>
  <c r="R25" i="13"/>
  <c r="Q24" i="15"/>
  <c r="Q25" i="15"/>
  <c r="N24" i="15"/>
  <c r="N25" i="15"/>
  <c r="K24" i="15"/>
  <c r="K25" i="15"/>
  <c r="Q23" i="15"/>
  <c r="N23" i="15"/>
  <c r="K23" i="15"/>
  <c r="G25" i="15"/>
  <c r="G24" i="15"/>
  <c r="N32" i="15"/>
  <c r="Q32" i="15"/>
  <c r="K32" i="15"/>
  <c r="Q31" i="15"/>
  <c r="N31" i="15"/>
  <c r="K31" i="15"/>
  <c r="Q30" i="15"/>
  <c r="N30" i="15"/>
  <c r="K30" i="15"/>
  <c r="Q29" i="15"/>
  <c r="N29" i="15"/>
  <c r="K29" i="15"/>
  <c r="Q28" i="15"/>
  <c r="N28" i="15"/>
  <c r="K28" i="15"/>
  <c r="Q27" i="15"/>
  <c r="N27" i="15"/>
  <c r="K27" i="15"/>
  <c r="G20" i="15"/>
  <c r="G17" i="15"/>
  <c r="G18" i="15"/>
  <c r="G15" i="15"/>
  <c r="G14" i="15"/>
  <c r="G13" i="15"/>
  <c r="G12" i="15"/>
  <c r="G10" i="15"/>
  <c r="G9" i="15"/>
  <c r="G8" i="15"/>
  <c r="G7" i="15"/>
  <c r="G6" i="15"/>
  <c r="G5" i="15"/>
  <c r="Q4" i="15"/>
  <c r="N4" i="15"/>
  <c r="K4" i="15"/>
  <c r="G4" i="15"/>
  <c r="H4" i="15" s="1"/>
  <c r="G3" i="15"/>
  <c r="H3" i="15" s="1"/>
  <c r="Q22" i="15"/>
  <c r="N22" i="15"/>
  <c r="K22" i="15"/>
  <c r="Q21" i="15"/>
  <c r="N21" i="15"/>
  <c r="K21" i="15"/>
  <c r="Q20" i="15"/>
  <c r="N20" i="15"/>
  <c r="K20" i="15"/>
  <c r="Q19" i="15"/>
  <c r="N19" i="15"/>
  <c r="K19" i="15"/>
  <c r="Q18" i="15"/>
  <c r="N18" i="15"/>
  <c r="K18" i="15"/>
  <c r="Q17" i="15"/>
  <c r="N17" i="15"/>
  <c r="K17" i="15"/>
  <c r="Q15" i="15"/>
  <c r="N15" i="15"/>
  <c r="K15" i="15"/>
  <c r="Q14" i="15"/>
  <c r="N14" i="15"/>
  <c r="K14" i="15"/>
  <c r="Q13" i="15"/>
  <c r="N13" i="15"/>
  <c r="K13" i="15"/>
  <c r="Q12" i="15"/>
  <c r="N12" i="15"/>
  <c r="K12" i="15"/>
  <c r="Q10" i="15"/>
  <c r="N10" i="15"/>
  <c r="K10" i="15"/>
  <c r="Q9" i="15"/>
  <c r="N9" i="15"/>
  <c r="K9" i="15"/>
  <c r="Q8" i="15"/>
  <c r="N8" i="15"/>
  <c r="K8" i="15"/>
  <c r="Q7" i="15"/>
  <c r="N7" i="15"/>
  <c r="K7" i="15"/>
  <c r="Q6" i="15"/>
  <c r="N6" i="15"/>
  <c r="K6" i="15"/>
  <c r="Q5" i="15"/>
  <c r="N5" i="15"/>
  <c r="K5" i="15"/>
  <c r="Q3" i="15"/>
  <c r="N3" i="15"/>
  <c r="K3" i="15"/>
  <c r="R22" i="13"/>
  <c r="O22" i="13"/>
  <c r="L22" i="13"/>
  <c r="R11" i="13"/>
  <c r="O11" i="13"/>
  <c r="L11" i="13"/>
  <c r="R4" i="13"/>
  <c r="R5" i="13"/>
  <c r="R6" i="13"/>
  <c r="O4" i="13"/>
  <c r="O5" i="13"/>
  <c r="O6" i="13"/>
  <c r="L4" i="13"/>
  <c r="L5" i="13"/>
  <c r="L6" i="13"/>
  <c r="R19" i="13"/>
  <c r="R20" i="13"/>
  <c r="R21" i="13"/>
  <c r="O19" i="13"/>
  <c r="O20" i="13"/>
  <c r="O21" i="13"/>
  <c r="L19" i="13"/>
  <c r="L20" i="13"/>
  <c r="L21" i="13"/>
  <c r="H7" i="13"/>
  <c r="H8" i="13"/>
  <c r="H9" i="13"/>
  <c r="H12" i="13"/>
  <c r="H14" i="13"/>
  <c r="H3" i="13"/>
  <c r="G15" i="13"/>
  <c r="H15" i="13" s="1"/>
  <c r="S24" i="9"/>
  <c r="P24" i="9"/>
  <c r="M24" i="9"/>
  <c r="J24" i="9"/>
  <c r="H24" i="9"/>
  <c r="P3" i="9"/>
  <c r="L8" i="13"/>
  <c r="O8" i="13"/>
  <c r="R8" i="13"/>
  <c r="I8" i="13"/>
  <c r="O9" i="13"/>
  <c r="R9" i="13"/>
  <c r="L9" i="13"/>
  <c r="I9" i="13"/>
  <c r="R12" i="13"/>
  <c r="O12" i="13"/>
  <c r="L12" i="13"/>
  <c r="I7" i="13"/>
  <c r="I3" i="13"/>
  <c r="I12" i="13"/>
  <c r="I14" i="13"/>
  <c r="R7" i="13"/>
  <c r="R14" i="13"/>
  <c r="R15" i="13"/>
  <c r="R16" i="13"/>
  <c r="R17" i="13"/>
  <c r="O7" i="13"/>
  <c r="O14" i="13"/>
  <c r="O15" i="13"/>
  <c r="O16" i="13"/>
  <c r="O17" i="13"/>
  <c r="L7" i="13"/>
  <c r="L14" i="13"/>
  <c r="L15" i="13"/>
  <c r="L16" i="13"/>
  <c r="L17" i="13"/>
  <c r="R3" i="13"/>
  <c r="O3" i="13"/>
  <c r="L3" i="13"/>
  <c r="H25" i="9"/>
  <c r="S25" i="9"/>
  <c r="P25" i="9"/>
  <c r="M25" i="9"/>
  <c r="S20" i="8"/>
  <c r="P20" i="8"/>
  <c r="M20" i="8"/>
  <c r="H20" i="8"/>
  <c r="J22" i="8"/>
  <c r="H22" i="8"/>
  <c r="S22" i="8"/>
  <c r="P22" i="8"/>
  <c r="M22" i="8"/>
  <c r="S21" i="8"/>
  <c r="P21" i="8"/>
  <c r="M21" i="8"/>
  <c r="H21" i="8"/>
  <c r="M4" i="9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I15" i="13" l="1"/>
  <c r="G16" i="13"/>
  <c r="H16" i="13" s="1"/>
  <c r="S3" i="8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  <c r="G17" i="13" l="1"/>
  <c r="I16" i="13"/>
  <c r="I17" i="13" l="1"/>
  <c r="H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Chettanat Padungatthakij</author>
  </authors>
  <commentList>
    <comment ref="D17" authorId="0" shapeId="0" xr:uid="{7E2AE76A-5A16-4F32-8412-27CA6A6944AD}">
      <text>
        <r>
          <rPr>
            <sz val="9"/>
            <color indexed="81"/>
            <rFont val="Tahoma"/>
            <family val="2"/>
          </rPr>
          <t>Middle layer TiO</t>
        </r>
      </text>
    </comment>
  </commentList>
</comments>
</file>

<file path=xl/sharedStrings.xml><?xml version="1.0" encoding="utf-8"?>
<sst xmlns="http://schemas.openxmlformats.org/spreadsheetml/2006/main" count="571" uniqueCount="172">
  <si>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</si>
  <si>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</si>
  <si>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</si>
  <si>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</si>
  <si>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</si>
  <si>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</si>
  <si>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</si>
  <si>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</si>
  <si>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</si>
  <si>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</si>
  <si>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</si>
  <si>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</si>
  <si>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</si>
  <si>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</si>
  <si>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</si>
  <si>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</si>
  <si>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</si>
  <si>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</si>
  <si>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</si>
  <si>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</si>
  <si>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</si>
  <si>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</si>
  <si>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</si>
  <si>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</si>
  <si>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</si>
  <si>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</si>
  <si>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</si>
  <si>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</si>
  <si>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</si>
  <si>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</si>
  <si>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</si>
  <si>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</si>
  <si>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</si>
  <si>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</si>
  <si>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</si>
  <si>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</si>
  <si>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</si>
  <si>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</si>
  <si>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</si>
  <si>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</si>
  <si>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</si>
  <si>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</si>
  <si>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</si>
  <si>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</si>
  <si>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</si>
  <si>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</si>
  <si>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</si>
  <si>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</si>
  <si>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</si>
  <si>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</si>
  <si>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</si>
  <si>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</si>
  <si>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</si>
  <si>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</si>
  <si>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</si>
  <si>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</si>
  <si>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</si>
  <si>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</si>
  <si>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</si>
  <si>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</si>
  <si>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</si>
  <si>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</si>
  <si>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</si>
  <si>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</si>
  <si>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</si>
  <si>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</si>
  <si>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</si>
  <si>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</si>
  <si>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</si>
  <si>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</si>
  <si>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</si>
  <si>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</si>
  <si>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</si>
  <si>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</si>
  <si>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</si>
  <si>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</si>
  <si>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</si>
  <si>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</si>
  <si>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</si>
  <si>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</si>
  <si>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</si>
  <si>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</si>
  <si>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</si>
  <si>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</si>
  <si>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</si>
  <si>
    <t>Al2O3/tD/SbSe/MgF2</t>
  </si>
  <si>
    <t>tH=75.07</t>
  </si>
  <si>
    <t>tH=41.1</t>
  </si>
  <si>
    <t>SP1</t>
  </si>
  <si>
    <t>SP2</t>
  </si>
  <si>
    <t>tL=38.9</t>
  </si>
  <si>
    <t>SP0 (Q/H/Q)</t>
  </si>
  <si>
    <t>Al2O3/SbSe/MgF2</t>
  </si>
  <si>
    <t>SP0</t>
  </si>
  <si>
    <t>Si3N4/SbSe/MgF2</t>
  </si>
  <si>
    <t>Si3N4/tD/SbSe/MgF2</t>
  </si>
  <si>
    <t>tH=133.23</t>
  </si>
  <si>
    <t>MaxT shifted to 1302</t>
  </si>
  <si>
    <t>tH</t>
  </si>
  <si>
    <t>TiO/SbSe/SiN</t>
  </si>
  <si>
    <t>Broadband</t>
  </si>
  <si>
    <t>SiN/SbSe/AlO</t>
  </si>
  <si>
    <t>AlO/SbSe/MgF</t>
  </si>
  <si>
    <t>SiO/SbSe/MgF</t>
  </si>
  <si>
    <t>SbSe/Si/TiO</t>
  </si>
  <si>
    <t>SbSe/TiO</t>
  </si>
  <si>
    <t>non-QWOT</t>
  </si>
  <si>
    <t>nS=SiO2</t>
  </si>
  <si>
    <t>nS=nAir</t>
  </si>
  <si>
    <t>Fabry-Perot</t>
  </si>
  <si>
    <t>(SbSe/MgF/SbSe)^1</t>
  </si>
  <si>
    <t>Reference Wavelength (nm)</t>
  </si>
  <si>
    <t>Condition</t>
  </si>
  <si>
    <t>λ = 1064</t>
  </si>
  <si>
    <t>Substrate = 3-mm SiO2_fused</t>
  </si>
  <si>
    <t>SbSe (nm)</t>
  </si>
  <si>
    <t>Total SbSe</t>
  </si>
  <si>
    <t>(SbSe/MgF/SbSe)^2</t>
  </si>
  <si>
    <t>(SbSe/MgF/SbSe)^4</t>
  </si>
  <si>
    <t>(SbSe/MgF/SbSe)^8</t>
  </si>
  <si>
    <t>(SbSe/MgF/SbSe)^6</t>
  </si>
  <si>
    <t>Central layer layout</t>
  </si>
  <si>
    <t>SbSe(H)/SiO</t>
  </si>
  <si>
    <t>SbSe(H)/MgF</t>
  </si>
  <si>
    <t>(H) = HWOT</t>
  </si>
  <si>
    <t>SbSe/SiN</t>
  </si>
  <si>
    <t>SbSe/MgF/TiO</t>
  </si>
  <si>
    <t>(SbSe/MgF/SbSe)^5</t>
  </si>
  <si>
    <t>MgF2</t>
  </si>
  <si>
    <t>SiO2</t>
  </si>
  <si>
    <t>Al2O3</t>
  </si>
  <si>
    <t>Si3N4</t>
  </si>
  <si>
    <t>TiO2</t>
  </si>
  <si>
    <t>Sb2Se3_amo</t>
  </si>
  <si>
    <t>Sb2Se3_cry</t>
  </si>
  <si>
    <t>Si_cry_300</t>
  </si>
  <si>
    <t>SbSe(H)</t>
  </si>
  <si>
    <t>Edge filter</t>
  </si>
  <si>
    <t>L = MgF2</t>
  </si>
  <si>
    <t>U = [H/2 L H/2]</t>
  </si>
  <si>
    <t>H = TiO2</t>
  </si>
  <si>
    <t>N1 SbSe/TiO M0</t>
  </si>
  <si>
    <t>N2 SbSe/TiO M0</t>
  </si>
  <si>
    <t>N2 SbSe/TiO M1</t>
  </si>
  <si>
    <t>N3 SbSe/TiO M0</t>
  </si>
  <si>
    <t>N3 SbSe/TiO M1</t>
  </si>
  <si>
    <t>N3 SbSe/TiO M2</t>
  </si>
  <si>
    <t>N1 SbSe/TiO/SbSe M0</t>
  </si>
  <si>
    <t>N2 SbSe/TiO/SbSe M0</t>
  </si>
  <si>
    <t>N2 SbSe/TiO/SbSe M1</t>
  </si>
  <si>
    <t>N1 SbSe/MgF/SbSe M0</t>
  </si>
  <si>
    <t>N2 SbSe/MgF/SbSe M0</t>
  </si>
  <si>
    <t>N2 SbSe/MgF/SbSe M1</t>
  </si>
  <si>
    <t>N1 MgF/SbSe M0</t>
  </si>
  <si>
    <t>N2 MgF/SbSe M0</t>
  </si>
  <si>
    <t>N2 MgF/SbSe M1</t>
  </si>
  <si>
    <t>(SbSe/MgF/SbSe)^3</t>
  </si>
  <si>
    <t>λ = 532</t>
  </si>
  <si>
    <t>FP</t>
  </si>
  <si>
    <t>U = H/2 L H/2</t>
  </si>
  <si>
    <t>N1 SbSe M1</t>
  </si>
  <si>
    <t>H =TiO2</t>
  </si>
  <si>
    <t>N2 SbSe M1</t>
  </si>
  <si>
    <t>N2 SbSe/TiO M2</t>
  </si>
  <si>
    <t>N1 SbSe/TiO M1</t>
  </si>
  <si>
    <t>N3 SbSe/TiO M3</t>
  </si>
  <si>
    <t>GST_amo</t>
  </si>
  <si>
    <t>GST_cry</t>
  </si>
  <si>
    <t>GST</t>
  </si>
  <si>
    <t>PCM (nm)</t>
  </si>
  <si>
    <t>Vo2_metallic</t>
  </si>
  <si>
    <t>Vo2_insulator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</si>
</sst>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09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164" fontId="3" fillId="5" borderId="0" xfId="0" applyNumberFormat="1" applyFont="1" applyFill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164" fontId="3" fillId="5" borderId="12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7" fontId="2" fillId="0" borderId="0" xfId="0" applyNumberFormat="1" applyFont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7" fontId="3" fillId="6" borderId="0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optmat.2020.110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D0FF-37A3-4BF0-A1B1-2B5FCB58BE4A}">
  <dimension ref="A1:V44"/>
  <sheetViews>
    <sheetView zoomScale="115" zoomScaleNormal="115" workbookViewId="0">
      <selection activeCell="K2" sqref="K1:K1048576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6" width="7.7109375" style="34" customWidth="1"/>
    <col min="7" max="7" width="8.7109375" style="137" customWidth="1"/>
    <col min="8" max="8" width="15.140625" style="136" customWidth="1"/>
    <col min="9" max="9" width="7.28515625" style="91" customWidth="1"/>
    <col min="10" max="10" width="7.28515625" style="92" customWidth="1"/>
    <col min="11" max="11" width="7.28515625" style="41" customWidth="1"/>
    <col min="12" max="13" width="7.28515625" style="92" customWidth="1"/>
    <col min="14" max="14" width="7.28515625" style="41" customWidth="1"/>
    <col min="15" max="16" width="7.28515625" style="92" customWidth="1"/>
    <col min="17" max="17" width="7.28515625" style="41" customWidth="1"/>
    <col min="18" max="18" width="7.28515625" style="35" customWidth="1"/>
    <col min="19" max="22" width="7.28515625" style="32" customWidth="1"/>
    <col min="23" max="16384" width="9.140625" style="32"/>
  </cols>
  <sheetData>
    <row r="1" spans="1:22" s="30" customFormat="1" ht="15" customHeight="1" x14ac:dyDescent="0.25">
      <c r="A1" s="149" t="s">
        <v>111</v>
      </c>
      <c r="B1" s="157" t="s">
        <v>19</v>
      </c>
      <c r="C1" s="151" t="s">
        <v>121</v>
      </c>
      <c r="D1" s="44" t="s">
        <v>98</v>
      </c>
      <c r="E1" s="145" t="s">
        <v>29</v>
      </c>
      <c r="F1" s="155" t="s">
        <v>115</v>
      </c>
      <c r="G1" s="147" t="s">
        <v>116</v>
      </c>
      <c r="H1" s="142" t="s">
        <v>28</v>
      </c>
      <c r="I1" s="144" t="s">
        <v>2</v>
      </c>
      <c r="J1" s="145"/>
      <c r="K1" s="146"/>
      <c r="L1" s="144" t="s">
        <v>4</v>
      </c>
      <c r="M1" s="145"/>
      <c r="N1" s="146"/>
      <c r="O1" s="144" t="s">
        <v>3</v>
      </c>
      <c r="P1" s="145"/>
      <c r="Q1" s="146"/>
      <c r="S1" s="128"/>
      <c r="T1" s="128"/>
      <c r="U1" s="128"/>
      <c r="V1" s="128"/>
    </row>
    <row r="2" spans="1:22" s="36" customFormat="1" ht="16.5" thickBot="1" x14ac:dyDescent="0.3">
      <c r="A2" s="150"/>
      <c r="B2" s="158"/>
      <c r="C2" s="152"/>
      <c r="D2" s="44"/>
      <c r="E2" s="154"/>
      <c r="F2" s="156"/>
      <c r="G2" s="148"/>
      <c r="H2" s="143"/>
      <c r="I2" s="111" t="s">
        <v>36</v>
      </c>
      <c r="J2" s="110" t="s">
        <v>37</v>
      </c>
      <c r="K2" s="51" t="s">
        <v>49</v>
      </c>
      <c r="L2" s="110" t="s">
        <v>36</v>
      </c>
      <c r="M2" s="110" t="s">
        <v>37</v>
      </c>
      <c r="N2" s="52" t="s">
        <v>50</v>
      </c>
      <c r="O2" s="110" t="s">
        <v>36</v>
      </c>
      <c r="P2" s="110" t="s">
        <v>37</v>
      </c>
      <c r="Q2" s="52" t="s">
        <v>51</v>
      </c>
      <c r="R2" s="129"/>
      <c r="S2" s="127"/>
      <c r="T2" s="127"/>
      <c r="U2" s="127"/>
      <c r="V2" s="127"/>
    </row>
    <row r="3" spans="1:22" s="30" customFormat="1" x14ac:dyDescent="0.25">
      <c r="A3" s="30">
        <v>532</v>
      </c>
      <c r="B3" s="35"/>
      <c r="C3" s="37" t="s">
        <v>74</v>
      </c>
      <c r="D3" s="44">
        <v>0</v>
      </c>
      <c r="E3" s="31">
        <v>0</v>
      </c>
      <c r="F3" s="84">
        <v>33.57</v>
      </c>
      <c r="G3" s="134">
        <f>F3</f>
        <v>33.57</v>
      </c>
      <c r="H3" s="135">
        <f>G3</f>
        <v>33.57</v>
      </c>
      <c r="I3" s="95">
        <v>0.16400000000000001</v>
      </c>
      <c r="J3" s="96">
        <v>5.8999999999999997E-2</v>
      </c>
      <c r="K3" s="90">
        <f t="shared" ref="K3:K10" si="0">I3-J3</f>
        <v>0.10500000000000001</v>
      </c>
      <c r="L3" s="96">
        <v>0.28999999999999998</v>
      </c>
      <c r="M3" s="96">
        <v>0.36299999999999999</v>
      </c>
      <c r="N3" s="90">
        <f t="shared" ref="N3:N10" si="1">L3-M3</f>
        <v>-7.3000000000000009E-2</v>
      </c>
      <c r="O3" s="96">
        <v>0.54600000000000004</v>
      </c>
      <c r="P3" s="96">
        <v>0.57699999999999996</v>
      </c>
      <c r="Q3" s="90">
        <f t="shared" ref="Q3:Q10" si="2">O3-P3</f>
        <v>-3.0999999999999917E-2</v>
      </c>
      <c r="R3" s="132"/>
      <c r="S3" s="133" t="s">
        <v>112</v>
      </c>
    </row>
    <row r="4" spans="1:22" s="30" customFormat="1" x14ac:dyDescent="0.25">
      <c r="A4" s="32" t="s">
        <v>124</v>
      </c>
      <c r="B4" s="35"/>
      <c r="C4" s="45" t="s">
        <v>136</v>
      </c>
      <c r="D4" s="44">
        <v>0</v>
      </c>
      <c r="E4" s="31">
        <v>0</v>
      </c>
      <c r="F4" s="84">
        <v>67.150000000000006</v>
      </c>
      <c r="G4" s="134">
        <f>F4</f>
        <v>67.150000000000006</v>
      </c>
      <c r="H4" s="135">
        <f>G4</f>
        <v>67.150000000000006</v>
      </c>
      <c r="I4" s="95">
        <v>9.5000000000000001E-2</v>
      </c>
      <c r="J4" s="96">
        <v>1.0999999999999999E-2</v>
      </c>
      <c r="K4" s="90">
        <f t="shared" si="0"/>
        <v>8.4000000000000005E-2</v>
      </c>
      <c r="L4" s="96">
        <v>0.58699999999999997</v>
      </c>
      <c r="M4" s="96">
        <v>0.49199999999999999</v>
      </c>
      <c r="N4" s="90">
        <f t="shared" si="1"/>
        <v>9.4999999999999973E-2</v>
      </c>
      <c r="O4" s="96">
        <v>0.317</v>
      </c>
      <c r="P4" s="96">
        <v>0.497</v>
      </c>
      <c r="Q4" s="90">
        <f t="shared" si="2"/>
        <v>-0.18</v>
      </c>
      <c r="S4" s="131"/>
    </row>
    <row r="5" spans="1:22" s="30" customFormat="1" x14ac:dyDescent="0.2">
      <c r="B5" s="35"/>
      <c r="C5" s="38" t="s">
        <v>123</v>
      </c>
      <c r="D5" s="44">
        <v>0</v>
      </c>
      <c r="E5" s="31">
        <v>192.17</v>
      </c>
      <c r="F5" s="84">
        <v>134.29</v>
      </c>
      <c r="G5" s="134">
        <f t="shared" ref="G5:G10" si="3">F5</f>
        <v>134.29</v>
      </c>
      <c r="H5" s="135">
        <v>326.45999999999998</v>
      </c>
      <c r="I5" s="95">
        <v>0.126</v>
      </c>
      <c r="J5" s="96">
        <v>1.6E-2</v>
      </c>
      <c r="K5" s="90">
        <f t="shared" si="0"/>
        <v>0.11</v>
      </c>
      <c r="L5" s="96">
        <v>0.77700000000000002</v>
      </c>
      <c r="M5" s="96">
        <v>0.72599999999999998</v>
      </c>
      <c r="N5" s="90">
        <f t="shared" si="1"/>
        <v>5.1000000000000045E-2</v>
      </c>
      <c r="O5" s="96">
        <v>9.7000000000000003E-2</v>
      </c>
      <c r="P5" s="96">
        <v>0.25800000000000001</v>
      </c>
      <c r="Q5" s="90">
        <f t="shared" si="2"/>
        <v>-0.161</v>
      </c>
      <c r="S5" s="130" t="s">
        <v>157</v>
      </c>
    </row>
    <row r="6" spans="1:22" s="30" customFormat="1" x14ac:dyDescent="0.25">
      <c r="B6" s="35"/>
      <c r="C6" s="38" t="s">
        <v>122</v>
      </c>
      <c r="D6" s="44">
        <v>0</v>
      </c>
      <c r="E6" s="31">
        <v>90.15</v>
      </c>
      <c r="F6" s="84">
        <v>67.150000000000006</v>
      </c>
      <c r="G6" s="134">
        <f t="shared" si="3"/>
        <v>67.150000000000006</v>
      </c>
      <c r="H6" s="135">
        <v>157.29</v>
      </c>
      <c r="I6" s="95">
        <v>0.13</v>
      </c>
      <c r="J6" s="96">
        <v>1.7000000000000001E-2</v>
      </c>
      <c r="K6" s="90">
        <f t="shared" si="0"/>
        <v>0.113</v>
      </c>
      <c r="L6" s="96">
        <v>0.80100000000000005</v>
      </c>
      <c r="M6" s="96">
        <v>0.76400000000000001</v>
      </c>
      <c r="N6" s="90">
        <f t="shared" si="1"/>
        <v>3.7000000000000033E-2</v>
      </c>
      <c r="O6" s="96">
        <v>6.9000000000000006E-2</v>
      </c>
      <c r="P6" s="96">
        <v>0.219</v>
      </c>
      <c r="Q6" s="90">
        <f t="shared" si="2"/>
        <v>-0.15</v>
      </c>
      <c r="S6" s="35" t="s">
        <v>114</v>
      </c>
    </row>
    <row r="7" spans="1:22" s="30" customFormat="1" x14ac:dyDescent="0.25">
      <c r="B7" s="35"/>
      <c r="C7" s="38" t="s">
        <v>125</v>
      </c>
      <c r="D7" s="44">
        <v>65.39</v>
      </c>
      <c r="E7" s="31">
        <v>0</v>
      </c>
      <c r="F7" s="84">
        <v>33.57</v>
      </c>
      <c r="G7" s="134">
        <f t="shared" si="3"/>
        <v>33.57</v>
      </c>
      <c r="H7" s="135">
        <v>98.96</v>
      </c>
      <c r="I7" s="95">
        <v>0.33200000000000002</v>
      </c>
      <c r="J7" s="96">
        <v>0.122</v>
      </c>
      <c r="K7" s="90">
        <f t="shared" si="0"/>
        <v>0.21000000000000002</v>
      </c>
      <c r="L7" s="96">
        <v>0.59199999999999997</v>
      </c>
      <c r="M7" s="96">
        <v>0.749</v>
      </c>
      <c r="N7" s="90">
        <f t="shared" si="1"/>
        <v>-0.15700000000000003</v>
      </c>
      <c r="O7" s="96">
        <v>7.6999999999999999E-2</v>
      </c>
      <c r="P7" s="96">
        <v>0.129</v>
      </c>
      <c r="Q7" s="90">
        <f t="shared" si="2"/>
        <v>-5.2000000000000005E-2</v>
      </c>
      <c r="S7" s="131"/>
    </row>
    <row r="8" spans="1:22" x14ac:dyDescent="0.25">
      <c r="C8" s="38" t="s">
        <v>105</v>
      </c>
      <c r="D8" s="44">
        <v>54.28</v>
      </c>
      <c r="E8" s="34">
        <v>0</v>
      </c>
      <c r="F8" s="84">
        <v>33.57</v>
      </c>
      <c r="G8" s="134">
        <f t="shared" si="3"/>
        <v>33.57</v>
      </c>
      <c r="H8" s="136">
        <v>87.85</v>
      </c>
      <c r="I8" s="91">
        <v>0.34499999999999997</v>
      </c>
      <c r="J8" s="92">
        <v>0.127</v>
      </c>
      <c r="K8" s="90">
        <f t="shared" si="0"/>
        <v>0.21799999999999997</v>
      </c>
      <c r="L8" s="92">
        <v>0.61699999999999999</v>
      </c>
      <c r="M8" s="92">
        <v>0.77800000000000002</v>
      </c>
      <c r="N8" s="90">
        <f t="shared" si="1"/>
        <v>-0.16100000000000003</v>
      </c>
      <c r="O8" s="92">
        <v>3.7999999999999999E-2</v>
      </c>
      <c r="P8" s="92">
        <v>9.5000000000000001E-2</v>
      </c>
      <c r="Q8" s="90">
        <f t="shared" si="2"/>
        <v>-5.7000000000000002E-2</v>
      </c>
    </row>
    <row r="9" spans="1:22" x14ac:dyDescent="0.25">
      <c r="B9" s="71" t="s">
        <v>106</v>
      </c>
      <c r="C9" s="81" t="s">
        <v>105</v>
      </c>
      <c r="D9" s="44">
        <v>56.6</v>
      </c>
      <c r="E9" s="34">
        <v>0</v>
      </c>
      <c r="F9" s="84">
        <v>22.6</v>
      </c>
      <c r="G9" s="134">
        <f t="shared" si="3"/>
        <v>22.6</v>
      </c>
      <c r="H9" s="136">
        <v>79.2</v>
      </c>
      <c r="I9" s="91">
        <v>0.42799999999999999</v>
      </c>
      <c r="J9" s="92">
        <v>0.21</v>
      </c>
      <c r="K9" s="90">
        <f>I9-J9</f>
        <v>0.218</v>
      </c>
      <c r="L9" s="92">
        <v>0.56499999999999995</v>
      </c>
      <c r="M9" s="92">
        <v>0.72599999999999998</v>
      </c>
      <c r="N9" s="90">
        <f>L9-M9</f>
        <v>-0.16100000000000003</v>
      </c>
      <c r="O9" s="92">
        <v>7.0000000000000001E-3</v>
      </c>
      <c r="P9" s="92">
        <v>6.4000000000000001E-2</v>
      </c>
      <c r="Q9" s="90">
        <f>O9-P9</f>
        <v>-5.7000000000000002E-2</v>
      </c>
    </row>
    <row r="10" spans="1:22" x14ac:dyDescent="0.25">
      <c r="B10" s="71"/>
      <c r="C10" s="38" t="s">
        <v>105</v>
      </c>
      <c r="D10" s="44">
        <v>42.9</v>
      </c>
      <c r="E10" s="34">
        <v>0</v>
      </c>
      <c r="F10" s="84">
        <v>43.7</v>
      </c>
      <c r="G10" s="134">
        <f t="shared" si="3"/>
        <v>43.7</v>
      </c>
      <c r="H10" s="136">
        <v>86.6</v>
      </c>
      <c r="I10" s="91">
        <v>0.29199999999999998</v>
      </c>
      <c r="J10" s="92">
        <v>8.3000000000000004E-2</v>
      </c>
      <c r="K10" s="90">
        <f t="shared" si="0"/>
        <v>0.20899999999999996</v>
      </c>
      <c r="L10" s="92">
        <v>0.70399999999999996</v>
      </c>
      <c r="M10" s="92">
        <v>0.91600000000000004</v>
      </c>
      <c r="N10" s="90">
        <f t="shared" si="1"/>
        <v>-0.21200000000000008</v>
      </c>
      <c r="O10" s="92">
        <v>3.0000000000000001E-3</v>
      </c>
      <c r="P10" s="92">
        <v>1E-3</v>
      </c>
      <c r="Q10" s="90">
        <f t="shared" si="2"/>
        <v>2E-3</v>
      </c>
    </row>
    <row r="11" spans="1:22" x14ac:dyDescent="0.25">
      <c r="B11" s="71"/>
      <c r="F11" s="84"/>
      <c r="G11" s="134"/>
      <c r="K11" s="90"/>
      <c r="N11" s="90"/>
      <c r="Q11" s="90"/>
    </row>
    <row r="12" spans="1:22" x14ac:dyDescent="0.25">
      <c r="B12" s="35" t="s">
        <v>100</v>
      </c>
      <c r="C12" s="38" t="s">
        <v>103</v>
      </c>
      <c r="D12" s="44">
        <v>90.15</v>
      </c>
      <c r="E12" s="34">
        <v>96.08</v>
      </c>
      <c r="F12" s="84">
        <v>67.150000000000006</v>
      </c>
      <c r="G12" s="134">
        <f>F12</f>
        <v>67.150000000000006</v>
      </c>
      <c r="H12" s="136">
        <v>219.8</v>
      </c>
      <c r="I12" s="91">
        <v>0.126</v>
      </c>
      <c r="J12" s="92">
        <v>1.6E-2</v>
      </c>
      <c r="K12" s="90">
        <f>I12-J12</f>
        <v>0.11</v>
      </c>
      <c r="L12" s="92">
        <v>0.77700000000000002</v>
      </c>
      <c r="M12" s="92">
        <v>0.72599999999999998</v>
      </c>
      <c r="N12" s="90">
        <f>L12-M12</f>
        <v>5.1000000000000045E-2</v>
      </c>
      <c r="O12" s="92">
        <v>9.7000000000000003E-2</v>
      </c>
      <c r="P12" s="92">
        <v>0.25800000000000001</v>
      </c>
      <c r="Q12" s="90">
        <f>O12-P12</f>
        <v>-0.161</v>
      </c>
    </row>
    <row r="13" spans="1:22" x14ac:dyDescent="0.25">
      <c r="A13" s="30"/>
      <c r="C13" s="38" t="s">
        <v>102</v>
      </c>
      <c r="D13" s="44">
        <v>81.540000000000006</v>
      </c>
      <c r="E13" s="34">
        <v>96.08</v>
      </c>
      <c r="F13" s="84">
        <v>67.150000000000006</v>
      </c>
      <c r="G13" s="134">
        <f>F13</f>
        <v>67.150000000000006</v>
      </c>
      <c r="H13" s="136">
        <v>211.2</v>
      </c>
      <c r="I13" s="91">
        <v>0.13700000000000001</v>
      </c>
      <c r="J13" s="92">
        <v>1.7999999999999999E-2</v>
      </c>
      <c r="K13" s="90">
        <f>I13-J13</f>
        <v>0.11900000000000001</v>
      </c>
      <c r="L13" s="92">
        <v>0.75800000000000001</v>
      </c>
      <c r="M13" s="92">
        <v>0.72199999999999998</v>
      </c>
      <c r="N13" s="90">
        <f>L13-M13</f>
        <v>3.6000000000000032E-2</v>
      </c>
      <c r="O13" s="92">
        <v>0.105</v>
      </c>
      <c r="P13" s="92">
        <v>0.26</v>
      </c>
      <c r="Q13" s="90">
        <f>O13-P13</f>
        <v>-0.15500000000000003</v>
      </c>
    </row>
    <row r="14" spans="1:22" x14ac:dyDescent="0.25">
      <c r="C14" s="38" t="s">
        <v>101</v>
      </c>
      <c r="D14" s="44">
        <v>65.39</v>
      </c>
      <c r="E14" s="34">
        <v>81.540000000000006</v>
      </c>
      <c r="F14" s="84">
        <v>67.150000000000006</v>
      </c>
      <c r="G14" s="134">
        <f>F14</f>
        <v>67.150000000000006</v>
      </c>
      <c r="H14" s="136">
        <v>214.07</v>
      </c>
      <c r="I14" s="91">
        <v>0.16500000000000001</v>
      </c>
      <c r="J14" s="92">
        <v>2.4E-2</v>
      </c>
      <c r="K14" s="90">
        <f>I14-J14</f>
        <v>0.14100000000000001</v>
      </c>
      <c r="L14" s="92">
        <v>0.78900000000000003</v>
      </c>
      <c r="M14" s="92">
        <v>0.82099999999999995</v>
      </c>
      <c r="N14" s="90">
        <f>L14-M14</f>
        <v>-3.1999999999999917E-2</v>
      </c>
      <c r="O14" s="92">
        <v>4.7E-2</v>
      </c>
      <c r="P14" s="92">
        <v>0.155</v>
      </c>
      <c r="Q14" s="90">
        <f>O14-P14</f>
        <v>-0.108</v>
      </c>
    </row>
    <row r="15" spans="1:22" s="35" customFormat="1" x14ac:dyDescent="0.25">
      <c r="A15" s="32"/>
      <c r="C15" s="38" t="s">
        <v>99</v>
      </c>
      <c r="D15" s="44">
        <v>54.28</v>
      </c>
      <c r="E15" s="34">
        <v>65.39</v>
      </c>
      <c r="F15" s="84">
        <v>67.150000000000006</v>
      </c>
      <c r="G15" s="134">
        <f>F15</f>
        <v>67.150000000000006</v>
      </c>
      <c r="H15" s="136">
        <v>186.81</v>
      </c>
      <c r="I15" s="91">
        <v>0.17599999999999999</v>
      </c>
      <c r="J15" s="92">
        <v>2.9000000000000001E-2</v>
      </c>
      <c r="K15" s="90">
        <f>I15-J15</f>
        <v>0.14699999999999999</v>
      </c>
      <c r="L15" s="92">
        <v>0.81100000000000005</v>
      </c>
      <c r="M15" s="92">
        <v>0.90800000000000003</v>
      </c>
      <c r="N15" s="90">
        <f>L15-M15</f>
        <v>-9.6999999999999975E-2</v>
      </c>
      <c r="O15" s="92">
        <v>1.2999999999999999E-2</v>
      </c>
      <c r="P15" s="92">
        <v>6.3E-2</v>
      </c>
      <c r="Q15" s="90">
        <f>O15-P15</f>
        <v>-0.05</v>
      </c>
      <c r="S15" s="32"/>
      <c r="T15" s="32"/>
      <c r="U15" s="32"/>
      <c r="V15" s="32"/>
    </row>
    <row r="16" spans="1:22" s="35" customFormat="1" x14ac:dyDescent="0.25">
      <c r="A16" s="32"/>
      <c r="C16" s="38"/>
      <c r="D16" s="44"/>
      <c r="E16" s="34"/>
      <c r="F16" s="34"/>
      <c r="G16" s="137"/>
      <c r="H16" s="136"/>
      <c r="I16" s="91"/>
      <c r="J16" s="92"/>
      <c r="K16" s="90"/>
      <c r="L16" s="92"/>
      <c r="M16" s="92"/>
      <c r="N16" s="90"/>
      <c r="O16" s="92"/>
      <c r="P16" s="92"/>
      <c r="Q16" s="90"/>
      <c r="S16" s="32"/>
      <c r="T16" s="32"/>
      <c r="U16" s="32"/>
      <c r="V16" s="32"/>
    </row>
    <row r="17" spans="1:22" s="35" customFormat="1" x14ac:dyDescent="0.25">
      <c r="A17" s="30">
        <v>532</v>
      </c>
      <c r="B17" s="35" t="s">
        <v>109</v>
      </c>
      <c r="C17" s="38" t="s">
        <v>141</v>
      </c>
      <c r="D17" s="44">
        <v>5.9</v>
      </c>
      <c r="E17" s="34">
        <v>0</v>
      </c>
      <c r="F17" s="34">
        <v>44.5</v>
      </c>
      <c r="G17" s="137">
        <f>F17</f>
        <v>44.5</v>
      </c>
      <c r="H17" s="136">
        <v>255.1</v>
      </c>
      <c r="I17" s="91">
        <v>0.24299999999999999</v>
      </c>
      <c r="J17" s="92">
        <v>5.8999999999999997E-2</v>
      </c>
      <c r="K17" s="90">
        <f t="shared" ref="K17:K20" si="4">I17-J17</f>
        <v>0.184</v>
      </c>
      <c r="L17" s="92">
        <v>0.755</v>
      </c>
      <c r="M17" s="92">
        <v>0.874</v>
      </c>
      <c r="N17" s="90">
        <f t="shared" ref="N17:N20" si="5">L17-M17</f>
        <v>-0.11899999999999999</v>
      </c>
      <c r="O17" s="92">
        <v>2E-3</v>
      </c>
      <c r="P17" s="92">
        <v>6.7000000000000004E-2</v>
      </c>
      <c r="Q17" s="90">
        <f t="shared" ref="Q17:Q20" si="6">O17-P17</f>
        <v>-6.5000000000000002E-2</v>
      </c>
      <c r="S17" s="32"/>
      <c r="T17" s="32"/>
      <c r="U17" s="32"/>
      <c r="V17" s="32"/>
    </row>
    <row r="18" spans="1:22" s="35" customFormat="1" x14ac:dyDescent="0.25">
      <c r="A18" s="32" t="s">
        <v>140</v>
      </c>
      <c r="C18" s="38" t="s">
        <v>142</v>
      </c>
      <c r="D18" s="44">
        <v>2.1</v>
      </c>
      <c r="E18" s="34">
        <v>0</v>
      </c>
      <c r="F18" s="34">
        <v>46.7</v>
      </c>
      <c r="G18" s="137">
        <f>F18</f>
        <v>46.7</v>
      </c>
      <c r="H18" s="136">
        <v>403.8</v>
      </c>
      <c r="I18" s="91">
        <v>0.10100000000000001</v>
      </c>
      <c r="J18" s="92">
        <v>0.02</v>
      </c>
      <c r="K18" s="90">
        <f t="shared" si="4"/>
        <v>8.1000000000000003E-2</v>
      </c>
      <c r="L18" s="92">
        <v>0.89900000000000002</v>
      </c>
      <c r="M18" s="92">
        <v>0.86399999999999999</v>
      </c>
      <c r="N18" s="90">
        <f t="shared" si="5"/>
        <v>3.5000000000000031E-2</v>
      </c>
      <c r="O18" s="92">
        <v>0</v>
      </c>
      <c r="P18" s="92">
        <v>0.115</v>
      </c>
      <c r="Q18" s="90">
        <f t="shared" si="6"/>
        <v>-0.115</v>
      </c>
      <c r="S18" s="32"/>
      <c r="T18" s="32"/>
      <c r="U18" s="32"/>
      <c r="V18" s="32"/>
    </row>
    <row r="19" spans="1:22" s="35" customFormat="1" x14ac:dyDescent="0.25">
      <c r="A19" s="32" t="s">
        <v>138</v>
      </c>
      <c r="C19" s="38" t="s">
        <v>143</v>
      </c>
      <c r="D19" s="44">
        <v>42.9</v>
      </c>
      <c r="E19" s="34">
        <v>0</v>
      </c>
      <c r="F19" s="34">
        <v>7.1</v>
      </c>
      <c r="G19" s="137">
        <v>10.1</v>
      </c>
      <c r="H19" s="136">
        <v>555.4</v>
      </c>
      <c r="I19" s="91">
        <v>0.33500000000000002</v>
      </c>
      <c r="J19" s="92">
        <v>0.153</v>
      </c>
      <c r="K19" s="90">
        <f t="shared" si="4"/>
        <v>0.18200000000000002</v>
      </c>
      <c r="L19" s="92">
        <v>0.66100000000000003</v>
      </c>
      <c r="M19" s="92">
        <v>0.73499999999999999</v>
      </c>
      <c r="N19" s="90">
        <f t="shared" si="5"/>
        <v>-7.3999999999999955E-2</v>
      </c>
      <c r="O19" s="92">
        <v>4.0000000000000001E-3</v>
      </c>
      <c r="P19" s="92">
        <v>0.112</v>
      </c>
      <c r="Q19" s="90">
        <f t="shared" si="6"/>
        <v>-0.108</v>
      </c>
      <c r="S19" s="32"/>
      <c r="T19" s="32"/>
      <c r="U19" s="32"/>
      <c r="V19" s="32"/>
    </row>
    <row r="20" spans="1:22" s="35" customFormat="1" x14ac:dyDescent="0.25">
      <c r="A20" s="32" t="s">
        <v>139</v>
      </c>
      <c r="C20" s="38" t="s">
        <v>144</v>
      </c>
      <c r="D20" s="44">
        <v>0.7</v>
      </c>
      <c r="E20" s="34">
        <v>0</v>
      </c>
      <c r="F20" s="34">
        <v>47.5</v>
      </c>
      <c r="G20" s="137">
        <f>F20</f>
        <v>47.5</v>
      </c>
      <c r="H20" s="136">
        <v>553.5</v>
      </c>
      <c r="I20" s="91">
        <v>3.5000000000000003E-2</v>
      </c>
      <c r="J20" s="92">
        <v>7.0000000000000001E-3</v>
      </c>
      <c r="K20" s="90">
        <f t="shared" si="4"/>
        <v>2.8000000000000004E-2</v>
      </c>
      <c r="L20" s="92">
        <v>0.96499999999999997</v>
      </c>
      <c r="M20" s="92">
        <v>0.85899999999999999</v>
      </c>
      <c r="N20" s="42">
        <f t="shared" si="5"/>
        <v>0.10599999999999998</v>
      </c>
      <c r="O20" s="92">
        <v>0</v>
      </c>
      <c r="P20" s="92">
        <v>0.13500000000000001</v>
      </c>
      <c r="Q20" s="42">
        <f t="shared" si="6"/>
        <v>-0.13500000000000001</v>
      </c>
      <c r="S20" s="32"/>
      <c r="T20" s="32"/>
      <c r="U20" s="32"/>
      <c r="V20" s="32"/>
    </row>
    <row r="21" spans="1:22" s="35" customFormat="1" x14ac:dyDescent="0.25">
      <c r="A21" s="32"/>
      <c r="C21" s="38" t="s">
        <v>145</v>
      </c>
      <c r="D21" s="44">
        <v>16.3</v>
      </c>
      <c r="E21" s="34">
        <v>0</v>
      </c>
      <c r="F21" s="34">
        <v>32.200000000000003</v>
      </c>
      <c r="G21" s="137">
        <v>34</v>
      </c>
      <c r="H21" s="136">
        <v>704.3</v>
      </c>
      <c r="I21" s="91">
        <v>0.08</v>
      </c>
      <c r="J21" s="92">
        <v>2.1999999999999999E-2</v>
      </c>
      <c r="K21" s="90">
        <f>I21-J21</f>
        <v>5.8000000000000003E-2</v>
      </c>
      <c r="L21" s="92">
        <v>0.92</v>
      </c>
      <c r="M21" s="92">
        <v>0.90100000000000002</v>
      </c>
      <c r="N21" s="90">
        <f>L21-M21</f>
        <v>1.9000000000000017E-2</v>
      </c>
      <c r="O21" s="92">
        <v>0</v>
      </c>
      <c r="P21" s="92">
        <v>7.6999999999999999E-2</v>
      </c>
      <c r="Q21" s="90">
        <f>O21-P21</f>
        <v>-7.6999999999999999E-2</v>
      </c>
      <c r="S21" s="32"/>
      <c r="T21" s="32"/>
      <c r="U21" s="32"/>
      <c r="V21" s="32"/>
    </row>
    <row r="22" spans="1:22" s="35" customFormat="1" x14ac:dyDescent="0.25">
      <c r="A22" s="32"/>
      <c r="C22" s="38" t="s">
        <v>146</v>
      </c>
      <c r="D22" s="44">
        <v>52.2</v>
      </c>
      <c r="E22" s="34">
        <v>0</v>
      </c>
      <c r="F22" s="34">
        <v>1.2</v>
      </c>
      <c r="G22" s="137">
        <v>1.2</v>
      </c>
      <c r="H22" s="136">
        <v>859.5</v>
      </c>
      <c r="I22" s="91">
        <v>0.43099999999999999</v>
      </c>
      <c r="J22" s="92">
        <v>0.218</v>
      </c>
      <c r="K22" s="90">
        <f>I22-J22</f>
        <v>0.21299999999999999</v>
      </c>
      <c r="L22" s="92">
        <v>0.56100000000000005</v>
      </c>
      <c r="M22" s="92">
        <v>0.69499999999999995</v>
      </c>
      <c r="N22" s="90">
        <f>L22-M22</f>
        <v>-0.1339999999999999</v>
      </c>
      <c r="O22" s="92">
        <v>8.0000000000000002E-3</v>
      </c>
      <c r="P22" s="92">
        <v>8.6999999999999994E-2</v>
      </c>
      <c r="Q22" s="90">
        <f>O22-P22</f>
        <v>-7.8999999999999987E-2</v>
      </c>
      <c r="S22" s="32"/>
      <c r="T22" s="32"/>
      <c r="U22" s="32"/>
      <c r="V22" s="32"/>
    </row>
    <row r="23" spans="1:22" s="35" customFormat="1" x14ac:dyDescent="0.25">
      <c r="A23" s="32"/>
      <c r="B23" s="35" t="s">
        <v>109</v>
      </c>
      <c r="C23" s="81" t="s">
        <v>153</v>
      </c>
      <c r="D23" s="44">
        <v>51.4</v>
      </c>
      <c r="E23" s="34">
        <v>0</v>
      </c>
      <c r="F23" s="34">
        <v>6.6</v>
      </c>
      <c r="G23" s="137">
        <v>6.6</v>
      </c>
      <c r="H23" s="136">
        <v>262.60000000000002</v>
      </c>
      <c r="I23" s="91">
        <v>0.64300000000000002</v>
      </c>
      <c r="J23" s="92">
        <v>0.41499999999999998</v>
      </c>
      <c r="K23" s="90">
        <f>I23-J23</f>
        <v>0.22800000000000004</v>
      </c>
      <c r="L23" s="92">
        <v>0.34100000000000003</v>
      </c>
      <c r="M23" s="92">
        <v>0.53700000000000003</v>
      </c>
      <c r="N23" s="90">
        <f>L23-M23</f>
        <v>-0.19600000000000001</v>
      </c>
      <c r="O23" s="92">
        <v>1.6E-2</v>
      </c>
      <c r="P23" s="92">
        <v>4.7E-2</v>
      </c>
      <c r="Q23" s="90">
        <f>O23-P23</f>
        <v>-3.1E-2</v>
      </c>
      <c r="S23" s="32"/>
      <c r="T23" s="32"/>
      <c r="U23" s="32"/>
      <c r="V23" s="32"/>
    </row>
    <row r="24" spans="1:22" s="35" customFormat="1" x14ac:dyDescent="0.25">
      <c r="A24" s="32"/>
      <c r="C24" s="38" t="s">
        <v>154</v>
      </c>
      <c r="D24" s="32">
        <v>32.4</v>
      </c>
      <c r="E24" s="32">
        <v>0</v>
      </c>
      <c r="F24" s="32">
        <v>25.5</v>
      </c>
      <c r="G24" s="137">
        <f>F24</f>
        <v>25.5</v>
      </c>
      <c r="H24" s="136">
        <v>412.8</v>
      </c>
      <c r="I24" s="35">
        <v>0.33400000000000002</v>
      </c>
      <c r="J24" s="92">
        <v>0.15</v>
      </c>
      <c r="K24" s="90">
        <f t="shared" ref="K24:K25" si="7">I24-J24</f>
        <v>0.18400000000000002</v>
      </c>
      <c r="L24" s="35">
        <v>0.66200000000000003</v>
      </c>
      <c r="M24" s="35">
        <v>0.751</v>
      </c>
      <c r="N24" s="90">
        <f t="shared" ref="N24:N25" si="8">L24-M24</f>
        <v>-8.8999999999999968E-2</v>
      </c>
      <c r="O24" s="35">
        <v>4.0000000000000001E-3</v>
      </c>
      <c r="P24" s="35">
        <v>9.9000000000000005E-2</v>
      </c>
      <c r="Q24" s="90">
        <f t="shared" ref="Q24:Q25" si="9">O24-P24</f>
        <v>-9.5000000000000001E-2</v>
      </c>
      <c r="S24" s="32"/>
      <c r="T24" s="32"/>
      <c r="U24" s="32"/>
      <c r="V24" s="32"/>
    </row>
    <row r="25" spans="1:22" x14ac:dyDescent="0.25">
      <c r="C25" s="38" t="s">
        <v>155</v>
      </c>
      <c r="D25" s="44">
        <v>56.8</v>
      </c>
      <c r="E25" s="34">
        <v>0</v>
      </c>
      <c r="F25" s="34">
        <v>2.8</v>
      </c>
      <c r="G25" s="137">
        <f>F25</f>
        <v>2.8</v>
      </c>
      <c r="H25" s="136">
        <v>565</v>
      </c>
      <c r="I25" s="91">
        <v>0.39800000000000002</v>
      </c>
      <c r="J25" s="92">
        <v>0.17599999999999999</v>
      </c>
      <c r="K25" s="90">
        <f t="shared" si="7"/>
        <v>0.22200000000000003</v>
      </c>
      <c r="L25" s="92">
        <v>0.53500000000000003</v>
      </c>
      <c r="M25" s="92">
        <v>0.57299999999999995</v>
      </c>
      <c r="N25" s="90">
        <f t="shared" si="8"/>
        <v>-3.7999999999999923E-2</v>
      </c>
      <c r="O25" s="92">
        <v>6.7000000000000004E-2</v>
      </c>
      <c r="P25" s="92">
        <v>0.252</v>
      </c>
      <c r="Q25" s="90">
        <f t="shared" si="9"/>
        <v>-0.185</v>
      </c>
    </row>
    <row r="26" spans="1:22" s="35" customFormat="1" ht="14.25" x14ac:dyDescent="0.25">
      <c r="C26" s="38"/>
      <c r="J26" s="139"/>
      <c r="S26" s="32"/>
      <c r="T26" s="32"/>
      <c r="U26" s="32"/>
      <c r="V26" s="32"/>
    </row>
    <row r="27" spans="1:22" s="35" customFormat="1" x14ac:dyDescent="0.25">
      <c r="B27" s="35" t="s">
        <v>109</v>
      </c>
      <c r="C27" s="38" t="s">
        <v>147</v>
      </c>
      <c r="D27" s="44">
        <v>34.6</v>
      </c>
      <c r="E27" s="34">
        <v>0</v>
      </c>
      <c r="F27" s="34">
        <v>7.1</v>
      </c>
      <c r="G27" s="137">
        <v>14.2</v>
      </c>
      <c r="H27" s="136">
        <v>253.4</v>
      </c>
      <c r="I27" s="91">
        <v>0.38200000000000001</v>
      </c>
      <c r="J27" s="92">
        <v>0.14399999999999999</v>
      </c>
      <c r="K27" s="90">
        <f t="shared" ref="K27:K32" si="10">I27-J27</f>
        <v>0.23800000000000002</v>
      </c>
      <c r="L27" s="92">
        <v>0.61299999999999999</v>
      </c>
      <c r="M27" s="92">
        <v>0.78800000000000003</v>
      </c>
      <c r="N27" s="90">
        <f t="shared" ref="N27:N32" si="11">L27-M27</f>
        <v>-0.17500000000000004</v>
      </c>
      <c r="O27" s="92">
        <v>5.0000000000000001E-3</v>
      </c>
      <c r="P27" s="92">
        <v>6.8000000000000005E-2</v>
      </c>
      <c r="Q27" s="90">
        <f t="shared" ref="Q27:Q32" si="12">O27-P27</f>
        <v>-6.3E-2</v>
      </c>
      <c r="S27" s="32"/>
      <c r="T27" s="32"/>
      <c r="U27" s="32"/>
      <c r="V27" s="32"/>
    </row>
    <row r="28" spans="1:22" s="35" customFormat="1" x14ac:dyDescent="0.25">
      <c r="C28" s="38" t="s">
        <v>148</v>
      </c>
      <c r="D28" s="44">
        <v>20.2</v>
      </c>
      <c r="E28" s="34">
        <v>0</v>
      </c>
      <c r="F28" s="34">
        <v>13.7</v>
      </c>
      <c r="G28" s="137">
        <v>27.4</v>
      </c>
      <c r="H28" s="136">
        <v>402.5</v>
      </c>
      <c r="I28" s="91">
        <v>0.11700000000000001</v>
      </c>
      <c r="J28" s="92">
        <v>2.8000000000000001E-2</v>
      </c>
      <c r="K28" s="97">
        <f t="shared" si="10"/>
        <v>8.900000000000001E-2</v>
      </c>
      <c r="L28" s="92">
        <v>0.88200000000000001</v>
      </c>
      <c r="M28" s="92">
        <v>0.84799999999999998</v>
      </c>
      <c r="N28" s="97">
        <f t="shared" si="11"/>
        <v>3.400000000000003E-2</v>
      </c>
      <c r="O28" s="92">
        <v>1E-3</v>
      </c>
      <c r="P28" s="92">
        <v>0.124</v>
      </c>
      <c r="Q28" s="97">
        <f t="shared" si="12"/>
        <v>-0.123</v>
      </c>
      <c r="S28" s="32"/>
      <c r="T28" s="32"/>
      <c r="U28" s="32"/>
      <c r="V28" s="32"/>
    </row>
    <row r="29" spans="1:22" s="35" customFormat="1" x14ac:dyDescent="0.25">
      <c r="C29" s="81" t="s">
        <v>149</v>
      </c>
      <c r="D29" s="44">
        <v>48.6</v>
      </c>
      <c r="E29" s="34">
        <v>0</v>
      </c>
      <c r="F29" s="34">
        <v>1.8</v>
      </c>
      <c r="G29" s="137">
        <v>3.5</v>
      </c>
      <c r="H29" s="136">
        <v>557.5</v>
      </c>
      <c r="I29" s="91">
        <v>0.442</v>
      </c>
      <c r="J29" s="92">
        <v>0.216</v>
      </c>
      <c r="K29" s="97">
        <f t="shared" si="10"/>
        <v>0.22600000000000001</v>
      </c>
      <c r="L29" s="92">
        <v>0.55000000000000004</v>
      </c>
      <c r="M29" s="92">
        <v>0.69499999999999995</v>
      </c>
      <c r="N29" s="97">
        <f t="shared" si="11"/>
        <v>-0.14499999999999991</v>
      </c>
      <c r="O29" s="92">
        <v>7.0000000000000001E-3</v>
      </c>
      <c r="P29" s="92">
        <v>8.8999999999999996E-2</v>
      </c>
      <c r="Q29" s="97">
        <f t="shared" si="12"/>
        <v>-8.199999999999999E-2</v>
      </c>
      <c r="S29" s="32"/>
      <c r="T29" s="32"/>
      <c r="U29" s="32"/>
      <c r="V29" s="32"/>
    </row>
    <row r="30" spans="1:22" s="35" customFormat="1" x14ac:dyDescent="0.25">
      <c r="C30" s="38" t="s">
        <v>150</v>
      </c>
      <c r="D30" s="44">
        <v>0</v>
      </c>
      <c r="E30" s="34">
        <v>32.200000000000003</v>
      </c>
      <c r="F30" s="34">
        <v>8.3000000000000007</v>
      </c>
      <c r="G30" s="137">
        <v>16.600000000000001</v>
      </c>
      <c r="H30" s="136">
        <v>253.4</v>
      </c>
      <c r="I30" s="91">
        <v>0.161</v>
      </c>
      <c r="J30" s="92">
        <v>4.8000000000000001E-2</v>
      </c>
      <c r="K30" s="97">
        <f t="shared" si="10"/>
        <v>0.113</v>
      </c>
      <c r="L30" s="92">
        <v>0.81699999999999995</v>
      </c>
      <c r="M30" s="92">
        <v>0.90600000000000003</v>
      </c>
      <c r="N30" s="97">
        <f t="shared" si="11"/>
        <v>-8.9000000000000079E-2</v>
      </c>
      <c r="O30" s="92">
        <v>2.1999999999999999E-2</v>
      </c>
      <c r="P30" s="92">
        <v>4.5999999999999999E-2</v>
      </c>
      <c r="Q30" s="97">
        <f t="shared" si="12"/>
        <v>-2.4E-2</v>
      </c>
      <c r="S30" s="32"/>
      <c r="T30" s="32"/>
      <c r="U30" s="32"/>
      <c r="V30" s="32"/>
    </row>
    <row r="31" spans="1:22" s="35" customFormat="1" x14ac:dyDescent="0.25">
      <c r="C31" s="38" t="s">
        <v>151</v>
      </c>
      <c r="D31" s="44">
        <v>0</v>
      </c>
      <c r="E31" s="34">
        <v>18</v>
      </c>
      <c r="F31" s="34">
        <v>14.7</v>
      </c>
      <c r="G31" s="137">
        <v>29.5</v>
      </c>
      <c r="H31" s="136">
        <v>402.5</v>
      </c>
      <c r="I31" s="91">
        <v>0.111</v>
      </c>
      <c r="J31" s="92">
        <v>2.5000000000000001E-2</v>
      </c>
      <c r="K31" s="97">
        <f t="shared" si="10"/>
        <v>8.5999999999999993E-2</v>
      </c>
      <c r="L31" s="92">
        <v>0.88800000000000001</v>
      </c>
      <c r="M31" s="92">
        <v>0.85499999999999998</v>
      </c>
      <c r="N31" s="97">
        <f t="shared" si="11"/>
        <v>3.3000000000000029E-2</v>
      </c>
      <c r="O31" s="92">
        <v>1E-3</v>
      </c>
      <c r="P31" s="92">
        <v>0.12</v>
      </c>
      <c r="Q31" s="97">
        <f t="shared" si="12"/>
        <v>-0.11899999999999999</v>
      </c>
      <c r="S31" s="32"/>
      <c r="T31" s="32"/>
      <c r="U31" s="32"/>
      <c r="V31" s="32"/>
    </row>
    <row r="32" spans="1:22" x14ac:dyDescent="0.25">
      <c r="C32" s="38" t="s">
        <v>152</v>
      </c>
      <c r="D32" s="44">
        <v>0</v>
      </c>
      <c r="E32" s="34">
        <v>54.1</v>
      </c>
      <c r="F32" s="34">
        <v>1.8</v>
      </c>
      <c r="G32" s="137">
        <v>3.6</v>
      </c>
      <c r="H32" s="136">
        <v>563.1</v>
      </c>
      <c r="I32" s="91">
        <v>0.442</v>
      </c>
      <c r="J32" s="92">
        <v>0.21199999999999999</v>
      </c>
      <c r="K32" s="97">
        <f t="shared" si="10"/>
        <v>0.23</v>
      </c>
      <c r="L32" s="92">
        <v>0.55100000000000005</v>
      </c>
      <c r="M32" s="92">
        <v>0.70699999999999996</v>
      </c>
      <c r="N32" s="97">
        <f t="shared" si="11"/>
        <v>-0.15599999999999992</v>
      </c>
      <c r="O32" s="92">
        <v>7.0000000000000001E-3</v>
      </c>
      <c r="P32" s="92">
        <v>8.2000000000000003E-2</v>
      </c>
      <c r="Q32" s="97">
        <f t="shared" si="12"/>
        <v>-7.4999999999999997E-2</v>
      </c>
    </row>
    <row r="36" spans="1:3" x14ac:dyDescent="0.25">
      <c r="A36" s="140" t="s">
        <v>157</v>
      </c>
      <c r="B36" s="69" t="s">
        <v>82</v>
      </c>
      <c r="C36" s="37" t="s">
        <v>83</v>
      </c>
    </row>
    <row r="37" spans="1:3" x14ac:dyDescent="0.25">
      <c r="A37" s="32" t="s">
        <v>128</v>
      </c>
      <c r="B37" s="35">
        <v>1.3842000000000001</v>
      </c>
      <c r="C37" s="38">
        <v>0</v>
      </c>
    </row>
    <row r="38" spans="1:3" x14ac:dyDescent="0.25">
      <c r="A38" s="32" t="s">
        <v>129</v>
      </c>
      <c r="B38" s="35">
        <v>1.4754</v>
      </c>
      <c r="C38" s="38">
        <v>0</v>
      </c>
    </row>
    <row r="39" spans="1:3" x14ac:dyDescent="0.25">
      <c r="A39" s="32" t="s">
        <v>130</v>
      </c>
      <c r="B39" s="35">
        <v>1.6311</v>
      </c>
      <c r="C39" s="38">
        <v>0</v>
      </c>
    </row>
    <row r="40" spans="1:3" x14ac:dyDescent="0.25">
      <c r="A40" s="32" t="s">
        <v>131</v>
      </c>
      <c r="B40" s="35">
        <v>2.0341</v>
      </c>
      <c r="C40" s="38">
        <v>0</v>
      </c>
    </row>
    <row r="41" spans="1:3" x14ac:dyDescent="0.25">
      <c r="A41" s="32" t="s">
        <v>132</v>
      </c>
      <c r="B41" s="35">
        <v>2.4502999999999999</v>
      </c>
      <c r="C41" s="118">
        <v>3.9999999999999998E-6</v>
      </c>
    </row>
    <row r="42" spans="1:3" x14ac:dyDescent="0.25">
      <c r="A42" s="46" t="s">
        <v>133</v>
      </c>
      <c r="B42" s="138">
        <v>3.9615</v>
      </c>
      <c r="C42" s="45">
        <v>1.0930420000000001</v>
      </c>
    </row>
    <row r="43" spans="1:3" x14ac:dyDescent="0.25">
      <c r="A43" s="32" t="s">
        <v>134</v>
      </c>
      <c r="B43" s="35">
        <v>4.7876000000000003</v>
      </c>
      <c r="C43" s="38">
        <v>2.240748</v>
      </c>
    </row>
    <row r="44" spans="1:3" x14ac:dyDescent="0.25">
      <c r="A44" s="32" t="s">
        <v>135</v>
      </c>
      <c r="B44" s="35">
        <v>4.1473000000000004</v>
      </c>
      <c r="C44" s="38">
        <v>3.9768999999999999E-2</v>
      </c>
    </row>
  </sheetData>
  <mergeCells count="10">
    <mergeCell ref="G1:G2"/>
    <mergeCell ref="H1:H2"/>
    <mergeCell ref="I1:K1"/>
    <mergeCell ref="L1:N1"/>
    <mergeCell ref="O1:Q1"/>
    <mergeCell ref="A1:A2"/>
    <mergeCell ref="B1:B2"/>
    <mergeCell ref="C1:C2"/>
    <mergeCell ref="E1:E2"/>
    <mergeCell ref="F1:F2"/>
  </mergeCells>
  <conditionalFormatting sqref="K35:K1048576 K27:K32 K1:K25">
    <cfRule type="top10" dxfId="19" priority="9" percent="1" rank="2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66A9-86C5-4B44-B720-CA86E494EFA2}">
  <dimension ref="A1:W31"/>
  <sheetViews>
    <sheetView zoomScaleNormal="100" workbookViewId="0">
      <selection activeCell="I18" sqref="I18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7" width="7.7109375" style="34" customWidth="1"/>
    <col min="8" max="8" width="8.7109375" style="137" customWidth="1"/>
    <col min="9" max="9" width="15.140625" style="136" customWidth="1"/>
    <col min="10" max="10" width="7.28515625" style="91" customWidth="1"/>
    <col min="11" max="11" width="7.28515625" style="92" customWidth="1"/>
    <col min="12" max="12" width="7.28515625" style="41" customWidth="1"/>
    <col min="13" max="14" width="7.28515625" style="92" customWidth="1"/>
    <col min="15" max="15" width="7.28515625" style="41" customWidth="1"/>
    <col min="16" max="17" width="7.28515625" style="92" customWidth="1"/>
    <col min="18" max="18" width="7.28515625" style="41" customWidth="1"/>
    <col min="19" max="19" width="7.28515625" style="35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23" width="7.28515625" style="32" customWidth="1"/>
    <col min="24" max="16384" width="9.140625" style="32"/>
  </cols>
  <sheetData>
    <row r="1" spans="1:23" s="30" customFormat="1" ht="15" customHeight="1" x14ac:dyDescent="0.25">
      <c r="A1" s="149" t="s">
        <v>111</v>
      </c>
      <c r="B1" s="157" t="s">
        <v>19</v>
      </c>
      <c r="C1" s="151" t="s">
        <v>121</v>
      </c>
      <c r="D1" s="144" t="s">
        <v>98</v>
      </c>
      <c r="E1" s="145" t="s">
        <v>29</v>
      </c>
      <c r="F1" s="145" t="s">
        <v>16</v>
      </c>
      <c r="G1" s="155" t="s">
        <v>115</v>
      </c>
      <c r="H1" s="147" t="s">
        <v>116</v>
      </c>
      <c r="I1" s="142" t="s">
        <v>28</v>
      </c>
      <c r="J1" s="144" t="s">
        <v>2</v>
      </c>
      <c r="K1" s="145"/>
      <c r="L1" s="146"/>
      <c r="M1" s="144" t="s">
        <v>4</v>
      </c>
      <c r="N1" s="145"/>
      <c r="O1" s="146"/>
      <c r="P1" s="144" t="s">
        <v>3</v>
      </c>
      <c r="Q1" s="145"/>
      <c r="R1" s="146"/>
      <c r="T1" s="72"/>
      <c r="U1" s="72"/>
      <c r="V1" s="72"/>
      <c r="W1" s="128"/>
    </row>
    <row r="2" spans="1:23" s="36" customFormat="1" ht="16.5" thickBot="1" x14ac:dyDescent="0.3">
      <c r="A2" s="150"/>
      <c r="B2" s="158"/>
      <c r="C2" s="152"/>
      <c r="D2" s="153"/>
      <c r="E2" s="154"/>
      <c r="F2" s="154"/>
      <c r="G2" s="156"/>
      <c r="H2" s="148"/>
      <c r="I2" s="143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9"/>
      <c r="T2" s="194"/>
      <c r="U2" s="194"/>
      <c r="V2" s="194"/>
      <c r="W2" s="127"/>
    </row>
    <row r="3" spans="1:23" s="30" customFormat="1" x14ac:dyDescent="0.25">
      <c r="A3" s="30">
        <v>1064</v>
      </c>
      <c r="B3" s="35"/>
      <c r="C3" s="45" t="s">
        <v>74</v>
      </c>
      <c r="D3" s="82">
        <v>0</v>
      </c>
      <c r="E3" s="31">
        <v>0</v>
      </c>
      <c r="F3" s="31"/>
      <c r="G3" s="84">
        <v>157.88</v>
      </c>
      <c r="H3" s="134">
        <f>G3</f>
        <v>157.88</v>
      </c>
      <c r="I3" s="135">
        <f>G3</f>
        <v>157.88</v>
      </c>
      <c r="J3" s="95">
        <v>0.93500000000000005</v>
      </c>
      <c r="K3" s="96">
        <v>0.372</v>
      </c>
      <c r="L3" s="90">
        <f t="shared" ref="L3:L9" si="0">J3-K3</f>
        <v>0.56300000000000006</v>
      </c>
      <c r="M3" s="96">
        <v>0</v>
      </c>
      <c r="N3" s="96">
        <v>1.2999999999999999E-2</v>
      </c>
      <c r="O3" s="90">
        <f t="shared" ref="O3:O9" si="1">M3-N3</f>
        <v>-1.2999999999999999E-2</v>
      </c>
      <c r="P3" s="96">
        <v>6.5000000000000002E-2</v>
      </c>
      <c r="Q3" s="96">
        <v>0.61499999999999999</v>
      </c>
      <c r="R3" s="90">
        <f t="shared" ref="R3:R9" si="2">P3-Q3</f>
        <v>-0.55000000000000004</v>
      </c>
      <c r="S3" s="132"/>
      <c r="T3" s="133" t="s">
        <v>112</v>
      </c>
      <c r="U3" s="69"/>
      <c r="V3" s="69"/>
    </row>
    <row r="4" spans="1:23" s="30" customFormat="1" x14ac:dyDescent="0.2">
      <c r="A4" s="32" t="s">
        <v>124</v>
      </c>
      <c r="B4" s="35"/>
      <c r="C4" s="38" t="s">
        <v>123</v>
      </c>
      <c r="D4" s="82">
        <v>0</v>
      </c>
      <c r="E4" s="31">
        <v>193.08</v>
      </c>
      <c r="F4" s="31"/>
      <c r="G4" s="84">
        <v>157.9</v>
      </c>
      <c r="H4" s="134">
        <v>157.9</v>
      </c>
      <c r="I4" s="135">
        <v>350.95</v>
      </c>
      <c r="J4" s="95">
        <v>0.95</v>
      </c>
      <c r="K4" s="96">
        <v>0.55800000000000005</v>
      </c>
      <c r="L4" s="90">
        <f t="shared" si="0"/>
        <v>0.3919999999999999</v>
      </c>
      <c r="M4" s="96">
        <v>0</v>
      </c>
      <c r="N4" s="96">
        <v>1.9E-2</v>
      </c>
      <c r="O4" s="90">
        <f t="shared" si="1"/>
        <v>-1.9E-2</v>
      </c>
      <c r="P4" s="96">
        <v>0.05</v>
      </c>
      <c r="Q4" s="96">
        <v>0.42299999999999999</v>
      </c>
      <c r="R4" s="90">
        <f t="shared" si="2"/>
        <v>-0.373</v>
      </c>
      <c r="T4" s="130" t="s">
        <v>113</v>
      </c>
      <c r="U4" s="69"/>
      <c r="V4" s="69"/>
    </row>
    <row r="5" spans="1:23" s="30" customFormat="1" x14ac:dyDescent="0.25">
      <c r="B5" s="35"/>
      <c r="C5" s="38" t="s">
        <v>122</v>
      </c>
      <c r="D5" s="82">
        <v>0</v>
      </c>
      <c r="E5" s="31">
        <v>181.31</v>
      </c>
      <c r="F5" s="31"/>
      <c r="G5" s="84">
        <v>157.9</v>
      </c>
      <c r="H5" s="134">
        <v>157.9</v>
      </c>
      <c r="I5" s="135">
        <v>339.19</v>
      </c>
      <c r="J5" s="95">
        <v>0.93500000000000005</v>
      </c>
      <c r="K5" s="96">
        <v>0.58399999999999996</v>
      </c>
      <c r="L5" s="90">
        <f t="shared" si="0"/>
        <v>0.35100000000000009</v>
      </c>
      <c r="M5" s="96">
        <v>0</v>
      </c>
      <c r="N5" s="96">
        <v>0.02</v>
      </c>
      <c r="O5" s="90">
        <f t="shared" si="1"/>
        <v>-0.02</v>
      </c>
      <c r="P5" s="96">
        <v>6.5000000000000002E-2</v>
      </c>
      <c r="Q5" s="96">
        <v>0.39600000000000002</v>
      </c>
      <c r="R5" s="90">
        <f t="shared" si="2"/>
        <v>-0.33100000000000002</v>
      </c>
      <c r="T5" s="35" t="s">
        <v>114</v>
      </c>
      <c r="U5" s="69"/>
      <c r="V5" s="69"/>
    </row>
    <row r="6" spans="1:23" s="30" customFormat="1" x14ac:dyDescent="0.25">
      <c r="B6" s="35"/>
      <c r="C6" s="38" t="s">
        <v>125</v>
      </c>
      <c r="D6" s="82">
        <v>0</v>
      </c>
      <c r="E6" s="31">
        <v>133.22999999999999</v>
      </c>
      <c r="F6" s="31"/>
      <c r="G6" s="84">
        <v>78.94</v>
      </c>
      <c r="H6" s="134">
        <v>78.94</v>
      </c>
      <c r="I6" s="135">
        <v>212.17</v>
      </c>
      <c r="J6" s="95">
        <v>0.86699999999999999</v>
      </c>
      <c r="K6" s="96">
        <v>0.71</v>
      </c>
      <c r="L6" s="90">
        <f t="shared" si="0"/>
        <v>0.15700000000000003</v>
      </c>
      <c r="M6" s="96">
        <v>0</v>
      </c>
      <c r="N6" s="96">
        <v>8.9999999999999993E-3</v>
      </c>
      <c r="O6" s="90">
        <f t="shared" si="1"/>
        <v>-8.9999999999999993E-3</v>
      </c>
      <c r="P6" s="96">
        <v>0.13300000000000001</v>
      </c>
      <c r="Q6" s="96">
        <v>0.28000000000000003</v>
      </c>
      <c r="R6" s="90">
        <f t="shared" si="2"/>
        <v>-0.14700000000000002</v>
      </c>
      <c r="T6" s="131"/>
      <c r="U6" s="69"/>
      <c r="V6" s="69"/>
    </row>
    <row r="7" spans="1:23" x14ac:dyDescent="0.25">
      <c r="C7" s="81" t="s">
        <v>105</v>
      </c>
      <c r="D7" s="44">
        <v>115.17</v>
      </c>
      <c r="E7" s="34">
        <v>0</v>
      </c>
      <c r="G7" s="84">
        <v>78.94</v>
      </c>
      <c r="H7" s="134">
        <f t="shared" ref="H7:H17" si="3">G7</f>
        <v>78.94</v>
      </c>
      <c r="I7" s="136">
        <f>D7+G7</f>
        <v>194.11</v>
      </c>
      <c r="J7" s="91">
        <v>0.93300000000000005</v>
      </c>
      <c r="K7" s="92">
        <v>0.76900000000000002</v>
      </c>
      <c r="L7" s="90">
        <f t="shared" si="0"/>
        <v>0.16400000000000003</v>
      </c>
      <c r="M7" s="92">
        <v>0</v>
      </c>
      <c r="N7" s="92">
        <v>0.01</v>
      </c>
      <c r="O7" s="90">
        <f t="shared" si="1"/>
        <v>-0.01</v>
      </c>
      <c r="P7" s="92">
        <v>6.7000000000000004E-2</v>
      </c>
      <c r="Q7" s="92">
        <v>0.221</v>
      </c>
      <c r="R7" s="90">
        <f t="shared" si="2"/>
        <v>-0.154</v>
      </c>
    </row>
    <row r="8" spans="1:23" x14ac:dyDescent="0.25">
      <c r="B8" s="71" t="s">
        <v>106</v>
      </c>
      <c r="C8" s="38" t="s">
        <v>105</v>
      </c>
      <c r="D8" s="126">
        <v>162.07</v>
      </c>
      <c r="E8" s="34">
        <v>0</v>
      </c>
      <c r="G8" s="84">
        <v>32.880000000000003</v>
      </c>
      <c r="H8" s="134">
        <f t="shared" si="3"/>
        <v>32.880000000000003</v>
      </c>
      <c r="I8" s="136">
        <f>D8+G8</f>
        <v>194.95</v>
      </c>
      <c r="J8" s="91">
        <v>0.96599999999999997</v>
      </c>
      <c r="K8" s="92">
        <v>0.82799999999999996</v>
      </c>
      <c r="L8" s="90">
        <f>J8-K8</f>
        <v>0.13800000000000001</v>
      </c>
      <c r="M8" s="92">
        <v>0</v>
      </c>
      <c r="N8" s="92">
        <v>8.0000000000000004E-4</v>
      </c>
      <c r="O8" s="90">
        <f>M8-N8</f>
        <v>-8.0000000000000004E-4</v>
      </c>
      <c r="P8" s="92">
        <v>3.4000000000000002E-2</v>
      </c>
      <c r="Q8" s="92">
        <v>0.16400000000000001</v>
      </c>
      <c r="R8" s="90">
        <f>P8-Q8</f>
        <v>-0.13</v>
      </c>
      <c r="T8" s="189" t="s">
        <v>113</v>
      </c>
      <c r="U8" s="69" t="s">
        <v>82</v>
      </c>
      <c r="V8" s="190" t="s">
        <v>83</v>
      </c>
    </row>
    <row r="9" spans="1:23" x14ac:dyDescent="0.25">
      <c r="B9" s="71" t="s">
        <v>106</v>
      </c>
      <c r="C9" s="38" t="s">
        <v>105</v>
      </c>
      <c r="D9" s="126">
        <v>125</v>
      </c>
      <c r="E9" s="34">
        <v>0</v>
      </c>
      <c r="G9" s="84">
        <v>68.260000000000005</v>
      </c>
      <c r="H9" s="134">
        <f t="shared" si="3"/>
        <v>68.260000000000005</v>
      </c>
      <c r="I9" s="136">
        <f>D9+G9</f>
        <v>193.26</v>
      </c>
      <c r="J9" s="91">
        <v>0.93600000000000005</v>
      </c>
      <c r="K9" s="92">
        <v>0.73799999999999999</v>
      </c>
      <c r="L9" s="90">
        <f t="shared" si="0"/>
        <v>0.19800000000000006</v>
      </c>
      <c r="M9" s="92">
        <v>0</v>
      </c>
      <c r="N9" s="92">
        <v>8.9999999999999993E-3</v>
      </c>
      <c r="O9" s="90">
        <f t="shared" si="1"/>
        <v>-8.9999999999999993E-3</v>
      </c>
      <c r="P9" s="92">
        <v>6.4000000000000001E-2</v>
      </c>
      <c r="Q9" s="92">
        <v>0.252</v>
      </c>
      <c r="R9" s="90">
        <f t="shared" si="2"/>
        <v>-0.188</v>
      </c>
      <c r="T9" s="35" t="s">
        <v>128</v>
      </c>
      <c r="U9" s="35">
        <v>1.3776999999999999</v>
      </c>
      <c r="V9" s="191">
        <v>0</v>
      </c>
    </row>
    <row r="10" spans="1:23" x14ac:dyDescent="0.25">
      <c r="B10" s="71"/>
      <c r="D10" s="126"/>
      <c r="G10" s="84"/>
      <c r="H10" s="134"/>
      <c r="L10" s="90"/>
      <c r="O10" s="90"/>
      <c r="R10" s="90"/>
      <c r="T10" s="35" t="s">
        <v>129</v>
      </c>
      <c r="U10" s="35">
        <v>1.4671000000000001</v>
      </c>
      <c r="V10" s="191">
        <v>0</v>
      </c>
    </row>
    <row r="11" spans="1:23" x14ac:dyDescent="0.25">
      <c r="C11" s="81" t="s">
        <v>126</v>
      </c>
      <c r="D11" s="44">
        <v>115.17</v>
      </c>
      <c r="E11" s="34">
        <v>386.15</v>
      </c>
      <c r="G11" s="34">
        <v>78.900000000000006</v>
      </c>
      <c r="H11" s="137">
        <v>78.900000000000006</v>
      </c>
      <c r="I11" s="136">
        <v>580.26</v>
      </c>
      <c r="J11" s="91">
        <v>0.93300000000000005</v>
      </c>
      <c r="K11" s="92">
        <v>0.76900000000000002</v>
      </c>
      <c r="L11" s="90">
        <f>J11-K11</f>
        <v>0.16400000000000003</v>
      </c>
      <c r="M11" s="92">
        <v>0</v>
      </c>
      <c r="N11" s="92">
        <v>0.01</v>
      </c>
      <c r="O11" s="90">
        <f>M11-N11</f>
        <v>-0.01</v>
      </c>
      <c r="P11" s="92">
        <v>6.7000000000000004E-2</v>
      </c>
      <c r="Q11" s="92">
        <v>0.22</v>
      </c>
      <c r="R11" s="90">
        <f>P11-Q11</f>
        <v>-0.153</v>
      </c>
      <c r="T11" s="35" t="s">
        <v>130</v>
      </c>
      <c r="U11" s="35">
        <v>1.6165</v>
      </c>
      <c r="V11" s="191">
        <v>0</v>
      </c>
    </row>
    <row r="12" spans="1:23" x14ac:dyDescent="0.25">
      <c r="C12" s="38" t="s">
        <v>104</v>
      </c>
      <c r="D12" s="44">
        <v>149.63999999999999</v>
      </c>
      <c r="E12" s="34">
        <v>115.17</v>
      </c>
      <c r="G12" s="84">
        <v>78.94</v>
      </c>
      <c r="H12" s="134">
        <f>G12</f>
        <v>78.94</v>
      </c>
      <c r="I12" s="136">
        <f>SUM(D12:G12)</f>
        <v>343.75</v>
      </c>
      <c r="J12" s="91">
        <v>0.93500000000000005</v>
      </c>
      <c r="K12" s="92">
        <v>0.76900000000000002</v>
      </c>
      <c r="L12" s="90">
        <f>J12-K12</f>
        <v>0.16600000000000004</v>
      </c>
      <c r="M12" s="92">
        <v>0</v>
      </c>
      <c r="N12" s="92">
        <v>1.0999999999999999E-2</v>
      </c>
      <c r="O12" s="90">
        <f>M12-N12</f>
        <v>-1.0999999999999999E-2</v>
      </c>
      <c r="P12" s="92">
        <v>6.7000000000000004E-2</v>
      </c>
      <c r="Q12" s="92">
        <v>0.221</v>
      </c>
      <c r="R12" s="90">
        <f>P12-Q12</f>
        <v>-0.154</v>
      </c>
      <c r="T12" s="35" t="s">
        <v>131</v>
      </c>
      <c r="U12" s="35">
        <v>1.9965999999999999</v>
      </c>
      <c r="V12" s="191">
        <v>0</v>
      </c>
    </row>
    <row r="13" spans="1:23" x14ac:dyDescent="0.25">
      <c r="A13" s="30"/>
      <c r="G13" s="84"/>
      <c r="H13" s="134"/>
      <c r="T13" s="35" t="s">
        <v>132</v>
      </c>
      <c r="U13" s="35">
        <v>2.3096999999999999</v>
      </c>
      <c r="V13" s="192">
        <v>0</v>
      </c>
    </row>
    <row r="14" spans="1:23" x14ac:dyDescent="0.25">
      <c r="B14" s="35" t="s">
        <v>100</v>
      </c>
      <c r="C14" s="38" t="s">
        <v>103</v>
      </c>
      <c r="D14" s="44">
        <v>181.31</v>
      </c>
      <c r="E14" s="34">
        <v>193.08</v>
      </c>
      <c r="G14" s="84">
        <v>157.88</v>
      </c>
      <c r="H14" s="134">
        <f t="shared" si="3"/>
        <v>157.88</v>
      </c>
      <c r="I14" s="136">
        <f>SUM(D14:G14)</f>
        <v>532.27</v>
      </c>
      <c r="J14" s="91">
        <v>0.95</v>
      </c>
      <c r="K14" s="92">
        <v>0.55800000000000005</v>
      </c>
      <c r="L14" s="90">
        <f>J14-K14</f>
        <v>0.3919999999999999</v>
      </c>
      <c r="M14" s="92">
        <v>0</v>
      </c>
      <c r="N14" s="92">
        <v>1.9E-2</v>
      </c>
      <c r="O14" s="90">
        <f>M14-N14</f>
        <v>-1.9E-2</v>
      </c>
      <c r="P14" s="92">
        <v>0.05</v>
      </c>
      <c r="Q14" s="92">
        <v>0.42299999999999999</v>
      </c>
      <c r="R14" s="90">
        <f>P14-Q14</f>
        <v>-0.373</v>
      </c>
      <c r="T14" s="138" t="s">
        <v>133</v>
      </c>
      <c r="U14" s="138">
        <v>3.3696739999999998</v>
      </c>
      <c r="V14" s="193">
        <v>0</v>
      </c>
    </row>
    <row r="15" spans="1:23" x14ac:dyDescent="0.25">
      <c r="A15" s="30"/>
      <c r="B15" s="35" t="s">
        <v>100</v>
      </c>
      <c r="C15" s="38" t="s">
        <v>102</v>
      </c>
      <c r="D15" s="44">
        <v>164.55</v>
      </c>
      <c r="E15" s="34">
        <v>193.08</v>
      </c>
      <c r="G15" s="84">
        <f>G14</f>
        <v>157.88</v>
      </c>
      <c r="H15" s="134">
        <f t="shared" si="3"/>
        <v>157.88</v>
      </c>
      <c r="I15" s="136">
        <f>SUM(D15:G15)</f>
        <v>515.51</v>
      </c>
      <c r="J15" s="91">
        <v>0.96599999999999997</v>
      </c>
      <c r="K15" s="92">
        <v>0.627</v>
      </c>
      <c r="L15" s="90">
        <f>J15-K15</f>
        <v>0.33899999999999997</v>
      </c>
      <c r="M15" s="92">
        <v>0</v>
      </c>
      <c r="N15" s="92">
        <v>1.7999999999999999E-2</v>
      </c>
      <c r="O15" s="90">
        <f>M15-N15</f>
        <v>-1.7999999999999999E-2</v>
      </c>
      <c r="P15" s="92">
        <v>3.4000000000000002E-2</v>
      </c>
      <c r="Q15" s="92">
        <v>0.35399999999999998</v>
      </c>
      <c r="R15" s="90">
        <f>P15-Q15</f>
        <v>-0.31999999999999995</v>
      </c>
      <c r="T15" s="35" t="s">
        <v>134</v>
      </c>
      <c r="U15" s="35">
        <v>4.3080999999999996</v>
      </c>
      <c r="V15" s="191">
        <v>9.7441000000000003E-3</v>
      </c>
    </row>
    <row r="16" spans="1:23" x14ac:dyDescent="0.25">
      <c r="B16" s="35" t="s">
        <v>100</v>
      </c>
      <c r="C16" s="81" t="s">
        <v>101</v>
      </c>
      <c r="D16" s="44">
        <v>133.22999999999999</v>
      </c>
      <c r="E16" s="34">
        <v>164.55</v>
      </c>
      <c r="G16" s="84">
        <f t="shared" ref="G16:G17" si="4">G15</f>
        <v>157.88</v>
      </c>
      <c r="H16" s="134">
        <f t="shared" si="3"/>
        <v>157.88</v>
      </c>
      <c r="I16" s="136">
        <f>SUM(D16:G16)</f>
        <v>455.65999999999997</v>
      </c>
      <c r="J16" s="91">
        <v>0.96599999999999997</v>
      </c>
      <c r="K16" s="92">
        <v>0.83299999999999996</v>
      </c>
      <c r="L16" s="90">
        <f>J16-K16</f>
        <v>0.13300000000000001</v>
      </c>
      <c r="M16" s="92">
        <v>0</v>
      </c>
      <c r="N16" s="92">
        <v>1.9E-2</v>
      </c>
      <c r="O16" s="90">
        <f>M16-N16</f>
        <v>-1.9E-2</v>
      </c>
      <c r="P16" s="92">
        <v>3.4000000000000002E-2</v>
      </c>
      <c r="Q16" s="92">
        <v>0.14799999999999999</v>
      </c>
      <c r="R16" s="90">
        <f>P16-Q16</f>
        <v>-0.11399999999999999</v>
      </c>
      <c r="T16" s="35" t="s">
        <v>135</v>
      </c>
      <c r="U16" s="35">
        <v>3.9016999999999999</v>
      </c>
      <c r="V16" s="191">
        <v>0</v>
      </c>
    </row>
    <row r="17" spans="1:22" x14ac:dyDescent="0.25">
      <c r="B17" s="35" t="s">
        <v>100</v>
      </c>
      <c r="C17" s="38" t="s">
        <v>99</v>
      </c>
      <c r="D17" s="44">
        <v>115.17</v>
      </c>
      <c r="E17" s="34">
        <v>133.22999999999999</v>
      </c>
      <c r="G17" s="84">
        <f t="shared" si="4"/>
        <v>157.88</v>
      </c>
      <c r="H17" s="134">
        <f t="shared" si="3"/>
        <v>157.88</v>
      </c>
      <c r="I17" s="136">
        <f>SUM(D17:G17)</f>
        <v>406.28</v>
      </c>
      <c r="J17" s="91">
        <v>0.96499999999999997</v>
      </c>
      <c r="K17" s="92">
        <v>0.94099999999999995</v>
      </c>
      <c r="L17" s="90">
        <f>J17-K17</f>
        <v>2.4000000000000021E-2</v>
      </c>
      <c r="M17" s="92">
        <v>0</v>
      </c>
      <c r="N17" s="92">
        <v>1.9E-2</v>
      </c>
      <c r="O17" s="90">
        <f>M17-N17</f>
        <v>-1.9E-2</v>
      </c>
      <c r="P17" s="92">
        <v>3.5000000000000003E-2</v>
      </c>
      <c r="Q17" s="92">
        <v>0.04</v>
      </c>
      <c r="R17" s="90">
        <f>P17-Q17</f>
        <v>-4.9999999999999975E-3</v>
      </c>
    </row>
    <row r="18" spans="1:22" x14ac:dyDescent="0.25">
      <c r="L18" s="90"/>
      <c r="O18" s="90"/>
      <c r="R18" s="90"/>
      <c r="T18" s="35" t="s">
        <v>166</v>
      </c>
      <c r="U18" s="35">
        <v>4.4375999999999998</v>
      </c>
      <c r="V18" s="35">
        <v>0.49270599999999998</v>
      </c>
    </row>
    <row r="19" spans="1:22" x14ac:dyDescent="0.25">
      <c r="A19" s="32">
        <v>750</v>
      </c>
      <c r="B19" s="35" t="s">
        <v>137</v>
      </c>
      <c r="C19" s="38" t="s">
        <v>110</v>
      </c>
      <c r="D19" s="44">
        <v>0</v>
      </c>
      <c r="E19" s="34">
        <v>135.84</v>
      </c>
      <c r="G19" s="34">
        <v>49.49</v>
      </c>
      <c r="H19" s="137">
        <f>G19</f>
        <v>49.49</v>
      </c>
      <c r="I19" s="136">
        <v>185.33</v>
      </c>
      <c r="J19" s="91">
        <v>0.93300000000000005</v>
      </c>
      <c r="K19" s="92">
        <v>0.501</v>
      </c>
      <c r="L19" s="90">
        <f t="shared" ref="L19:L22" si="5">J19-K19</f>
        <v>0.43200000000000005</v>
      </c>
      <c r="M19" s="92">
        <v>0</v>
      </c>
      <c r="N19" s="92">
        <v>1.4999999999999999E-2</v>
      </c>
      <c r="O19" s="90">
        <f t="shared" ref="O19:O22" si="6">M19-N19</f>
        <v>-1.4999999999999999E-2</v>
      </c>
      <c r="P19" s="92">
        <v>6.7000000000000004E-2</v>
      </c>
      <c r="Q19" s="92">
        <v>0.48399999999999999</v>
      </c>
      <c r="R19" s="90">
        <f t="shared" ref="R19:R22" si="7">P19-Q19</f>
        <v>-0.41699999999999998</v>
      </c>
      <c r="T19" s="35" t="s">
        <v>167</v>
      </c>
      <c r="U19" s="35">
        <v>6.0743999999999998</v>
      </c>
      <c r="V19" s="35">
        <v>2.4540289999999998</v>
      </c>
    </row>
    <row r="20" spans="1:22" x14ac:dyDescent="0.25">
      <c r="B20" s="35" t="s">
        <v>137</v>
      </c>
      <c r="C20" s="38" t="s">
        <v>117</v>
      </c>
      <c r="D20" s="44">
        <v>0</v>
      </c>
      <c r="E20" s="34">
        <v>135.84</v>
      </c>
      <c r="G20" s="34">
        <v>49.49</v>
      </c>
      <c r="H20" s="137">
        <v>98.99</v>
      </c>
      <c r="I20" s="136">
        <v>370.67</v>
      </c>
      <c r="J20" s="91">
        <v>0.93100000000000005</v>
      </c>
      <c r="K20" s="92">
        <v>0.13300000000000001</v>
      </c>
      <c r="L20" s="90">
        <f t="shared" si="5"/>
        <v>0.79800000000000004</v>
      </c>
      <c r="M20" s="92">
        <v>0</v>
      </c>
      <c r="N20" s="92">
        <v>1.7999999999999999E-2</v>
      </c>
      <c r="O20" s="90">
        <f t="shared" si="6"/>
        <v>-1.7999999999999999E-2</v>
      </c>
      <c r="P20" s="92">
        <v>6.9000000000000006E-2</v>
      </c>
      <c r="Q20" s="92">
        <v>0.84799999999999998</v>
      </c>
      <c r="R20" s="90">
        <f t="shared" si="7"/>
        <v>-0.77899999999999991</v>
      </c>
    </row>
    <row r="21" spans="1:22" x14ac:dyDescent="0.25">
      <c r="B21" s="35" t="s">
        <v>137</v>
      </c>
      <c r="C21" s="38" t="s">
        <v>156</v>
      </c>
      <c r="D21" s="44">
        <v>0</v>
      </c>
      <c r="E21" s="34">
        <v>135.84</v>
      </c>
      <c r="G21" s="34">
        <v>49.49</v>
      </c>
      <c r="H21" s="137">
        <f>G21*3</f>
        <v>148.47</v>
      </c>
      <c r="I21" s="136">
        <v>556</v>
      </c>
      <c r="J21" s="91">
        <v>0.93</v>
      </c>
      <c r="K21" s="92">
        <v>2.9000000000000001E-2</v>
      </c>
      <c r="L21" s="90">
        <f t="shared" si="5"/>
        <v>0.90100000000000002</v>
      </c>
      <c r="M21" s="92">
        <v>0</v>
      </c>
      <c r="N21" s="92">
        <v>1.9E-2</v>
      </c>
      <c r="O21" s="90">
        <f t="shared" si="6"/>
        <v>-1.9E-2</v>
      </c>
      <c r="P21" s="92">
        <v>7.0000000000000007E-2</v>
      </c>
      <c r="Q21" s="92">
        <v>0.95199999999999996</v>
      </c>
      <c r="R21" s="90">
        <f t="shared" si="7"/>
        <v>-0.8819999999999999</v>
      </c>
    </row>
    <row r="22" spans="1:22" x14ac:dyDescent="0.25">
      <c r="B22" s="35" t="s">
        <v>137</v>
      </c>
      <c r="C22" s="81" t="s">
        <v>118</v>
      </c>
      <c r="D22" s="44">
        <v>0</v>
      </c>
      <c r="E22" s="34">
        <v>135.80000000000001</v>
      </c>
      <c r="G22" s="34">
        <v>49.49</v>
      </c>
      <c r="H22" s="137">
        <f>G22*4</f>
        <v>197.96</v>
      </c>
      <c r="I22" s="136">
        <v>741.33</v>
      </c>
      <c r="J22" s="91">
        <v>0.93300000000000005</v>
      </c>
      <c r="K22" s="92">
        <v>6.0000000000000001E-3</v>
      </c>
      <c r="L22" s="90">
        <f t="shared" si="5"/>
        <v>0.92700000000000005</v>
      </c>
      <c r="M22" s="92">
        <v>0</v>
      </c>
      <c r="N22" s="92">
        <v>1.9E-2</v>
      </c>
      <c r="O22" s="42">
        <f t="shared" si="6"/>
        <v>-1.9E-2</v>
      </c>
      <c r="P22" s="92">
        <v>6.7000000000000004E-2</v>
      </c>
      <c r="Q22" s="92">
        <v>0.97499999999999998</v>
      </c>
      <c r="R22" s="42">
        <f t="shared" si="7"/>
        <v>-0.90799999999999992</v>
      </c>
    </row>
    <row r="23" spans="1:22" x14ac:dyDescent="0.25">
      <c r="B23" s="35" t="s">
        <v>137</v>
      </c>
      <c r="C23" s="38" t="s">
        <v>127</v>
      </c>
      <c r="D23" s="44">
        <v>0</v>
      </c>
      <c r="E23" s="34">
        <v>135.80000000000001</v>
      </c>
      <c r="G23" s="34">
        <v>49.49</v>
      </c>
      <c r="H23" s="137">
        <f>G23*5</f>
        <v>247.45000000000002</v>
      </c>
      <c r="I23" s="136">
        <v>926.67</v>
      </c>
      <c r="J23" s="91">
        <v>0.93500000000000005</v>
      </c>
      <c r="K23" s="92">
        <v>1E-3</v>
      </c>
      <c r="L23" s="90">
        <f t="shared" ref="L23" si="8">J23-K23</f>
        <v>0.93400000000000005</v>
      </c>
      <c r="M23" s="92">
        <v>1.9E-2</v>
      </c>
      <c r="N23" s="92">
        <v>1.9E-2</v>
      </c>
      <c r="O23" s="42">
        <f t="shared" ref="O23" si="9">M23-N23</f>
        <v>0</v>
      </c>
      <c r="P23" s="92">
        <v>6.5000000000000002E-2</v>
      </c>
      <c r="Q23" s="92">
        <v>0.98</v>
      </c>
      <c r="R23" s="42">
        <f t="shared" ref="R23" si="10">P23-Q23</f>
        <v>-0.91500000000000004</v>
      </c>
    </row>
    <row r="24" spans="1:22" x14ac:dyDescent="0.25">
      <c r="B24" s="35" t="s">
        <v>137</v>
      </c>
      <c r="C24" s="81" t="s">
        <v>120</v>
      </c>
      <c r="D24" s="44">
        <v>0</v>
      </c>
      <c r="E24" s="34">
        <v>135.84</v>
      </c>
      <c r="G24" s="34">
        <v>49.49</v>
      </c>
      <c r="H24" s="137">
        <f>G24*6</f>
        <v>296.94</v>
      </c>
      <c r="I24" s="136">
        <v>1112</v>
      </c>
      <c r="J24" s="91">
        <v>0.93300000000000005</v>
      </c>
      <c r="K24" s="92">
        <v>0</v>
      </c>
      <c r="L24" s="90">
        <f>J24-K24</f>
        <v>0.93300000000000005</v>
      </c>
      <c r="M24" s="92">
        <v>0</v>
      </c>
      <c r="N24" s="92">
        <v>1.9E-2</v>
      </c>
      <c r="O24" s="90">
        <f>M24-N24</f>
        <v>-1.9E-2</v>
      </c>
      <c r="P24" s="92">
        <v>6.7000000000000004E-2</v>
      </c>
      <c r="Q24" s="92">
        <v>0.98099999999999998</v>
      </c>
      <c r="R24" s="90">
        <f>P24-Q24</f>
        <v>-0.91399999999999992</v>
      </c>
    </row>
    <row r="25" spans="1:22" x14ac:dyDescent="0.25">
      <c r="B25" s="35" t="s">
        <v>137</v>
      </c>
      <c r="C25" s="38" t="s">
        <v>119</v>
      </c>
      <c r="D25" s="44">
        <v>0</v>
      </c>
      <c r="E25" s="34">
        <v>135.84</v>
      </c>
      <c r="G25" s="34">
        <v>49.49</v>
      </c>
      <c r="H25" s="137">
        <f>G25*8</f>
        <v>395.92</v>
      </c>
      <c r="I25" s="136">
        <v>1482.67</v>
      </c>
      <c r="J25" s="91">
        <v>0.93</v>
      </c>
      <c r="K25" s="92">
        <v>0</v>
      </c>
      <c r="L25" s="90">
        <f>J25-K25</f>
        <v>0.93</v>
      </c>
      <c r="M25" s="92">
        <v>0</v>
      </c>
      <c r="N25" s="92">
        <v>1.9E-2</v>
      </c>
      <c r="O25" s="90">
        <f>M25-N25</f>
        <v>-1.9E-2</v>
      </c>
      <c r="P25" s="92">
        <v>7.0000000000000007E-2</v>
      </c>
      <c r="Q25" s="92">
        <v>0.98099999999999998</v>
      </c>
      <c r="R25" s="90">
        <f>P25-Q25</f>
        <v>-0.91100000000000003</v>
      </c>
    </row>
    <row r="26" spans="1:22" x14ac:dyDescent="0.25">
      <c r="L26" s="90"/>
      <c r="O26" s="90"/>
      <c r="R26" s="90"/>
    </row>
    <row r="27" spans="1:22" x14ac:dyDescent="0.25">
      <c r="A27" s="32">
        <v>1064</v>
      </c>
      <c r="B27" s="35" t="s">
        <v>158</v>
      </c>
      <c r="C27" s="38" t="s">
        <v>160</v>
      </c>
      <c r="D27" s="44">
        <v>115.17</v>
      </c>
      <c r="E27" s="34">
        <v>181.31</v>
      </c>
      <c r="G27" s="34">
        <v>99.9</v>
      </c>
      <c r="H27" s="137">
        <f>G27</f>
        <v>99.9</v>
      </c>
      <c r="I27" s="136">
        <v>808.02</v>
      </c>
      <c r="J27" s="91">
        <v>0.93500000000000005</v>
      </c>
      <c r="K27" s="92">
        <v>0.51200000000000001</v>
      </c>
      <c r="L27" s="90">
        <f t="shared" ref="L27:L31" si="11">J27-K27</f>
        <v>0.42300000000000004</v>
      </c>
      <c r="M27" s="92">
        <v>0</v>
      </c>
      <c r="N27" s="92">
        <v>1.2999999999999999E-2</v>
      </c>
      <c r="O27" s="90">
        <f t="shared" ref="O27:O31" si="12">M27-N27</f>
        <v>-1.2999999999999999E-2</v>
      </c>
      <c r="P27" s="92">
        <v>6.5000000000000002E-2</v>
      </c>
      <c r="Q27" s="92">
        <v>0.47499999999999998</v>
      </c>
      <c r="R27" s="90">
        <f t="shared" ref="R27:R31" si="13">P27-Q27</f>
        <v>-0.41</v>
      </c>
    </row>
    <row r="28" spans="1:22" x14ac:dyDescent="0.25">
      <c r="A28" s="35" t="s">
        <v>159</v>
      </c>
      <c r="C28" s="38" t="s">
        <v>162</v>
      </c>
      <c r="D28" s="44">
        <v>115.17</v>
      </c>
      <c r="E28" s="34">
        <v>181.31</v>
      </c>
      <c r="G28" s="34">
        <v>100</v>
      </c>
      <c r="H28" s="137">
        <f>G28</f>
        <v>100</v>
      </c>
      <c r="I28" s="136">
        <v>1104.5999999999999</v>
      </c>
      <c r="J28" s="91">
        <v>0.89500000000000002</v>
      </c>
      <c r="K28" s="92">
        <v>0.27100000000000002</v>
      </c>
      <c r="L28" s="90">
        <f t="shared" si="11"/>
        <v>0.624</v>
      </c>
      <c r="M28" s="92">
        <v>0</v>
      </c>
      <c r="N28" s="92">
        <v>1.6E-2</v>
      </c>
      <c r="O28" s="90">
        <f t="shared" si="12"/>
        <v>-1.6E-2</v>
      </c>
      <c r="P28" s="92">
        <v>0.105</v>
      </c>
      <c r="Q28" s="92">
        <v>0.71299999999999997</v>
      </c>
      <c r="R28" s="90">
        <f t="shared" si="13"/>
        <v>-0.60799999999999998</v>
      </c>
    </row>
    <row r="29" spans="1:22" x14ac:dyDescent="0.25">
      <c r="A29" s="35" t="s">
        <v>161</v>
      </c>
      <c r="C29" s="38" t="s">
        <v>164</v>
      </c>
      <c r="D29" s="44">
        <v>115.17</v>
      </c>
      <c r="E29" s="34">
        <v>181.31</v>
      </c>
      <c r="F29" s="34">
        <v>75.7</v>
      </c>
      <c r="G29" s="34">
        <v>31.6</v>
      </c>
      <c r="H29" s="137">
        <f>G29</f>
        <v>31.6</v>
      </c>
      <c r="I29" s="136">
        <v>815.3</v>
      </c>
      <c r="J29" s="91">
        <v>0.96599999999999997</v>
      </c>
      <c r="K29" s="92">
        <v>0.83699999999999997</v>
      </c>
      <c r="L29" s="90">
        <f t="shared" si="11"/>
        <v>0.129</v>
      </c>
      <c r="M29" s="92">
        <v>0</v>
      </c>
      <c r="N29" s="92">
        <v>8.0000000000000002E-3</v>
      </c>
      <c r="O29" s="90">
        <f t="shared" si="12"/>
        <v>-8.0000000000000002E-3</v>
      </c>
      <c r="P29" s="92">
        <v>3.4000000000000002E-2</v>
      </c>
      <c r="Q29" s="92">
        <v>0.155</v>
      </c>
      <c r="R29" s="90">
        <f t="shared" si="13"/>
        <v>-0.121</v>
      </c>
    </row>
    <row r="30" spans="1:22" x14ac:dyDescent="0.25">
      <c r="A30" s="35" t="s">
        <v>138</v>
      </c>
      <c r="C30" s="38" t="s">
        <v>163</v>
      </c>
      <c r="D30" s="44">
        <v>115.17</v>
      </c>
      <c r="E30" s="34">
        <v>181.31</v>
      </c>
      <c r="F30" s="34">
        <v>74.8</v>
      </c>
      <c r="G30" s="34">
        <v>31.9</v>
      </c>
      <c r="H30" s="137">
        <f>G30</f>
        <v>31.9</v>
      </c>
      <c r="I30" s="136">
        <v>1454.83</v>
      </c>
      <c r="J30" s="91">
        <v>0.96599999999999997</v>
      </c>
      <c r="K30" s="92">
        <v>0.498</v>
      </c>
      <c r="L30" s="90">
        <f t="shared" si="11"/>
        <v>0.46799999999999997</v>
      </c>
      <c r="M30" s="92">
        <v>0</v>
      </c>
      <c r="N30" s="92">
        <v>1.2E-2</v>
      </c>
      <c r="O30" s="90">
        <f t="shared" si="12"/>
        <v>-1.2E-2</v>
      </c>
      <c r="P30" s="92">
        <v>3.4000000000000002E-2</v>
      </c>
      <c r="Q30" s="92">
        <v>0.49</v>
      </c>
      <c r="R30" s="90">
        <f t="shared" si="13"/>
        <v>-0.45599999999999996</v>
      </c>
    </row>
    <row r="31" spans="1:22" x14ac:dyDescent="0.25">
      <c r="C31" s="81" t="s">
        <v>165</v>
      </c>
      <c r="D31" s="44">
        <v>115.17</v>
      </c>
      <c r="E31" s="34">
        <v>181.31</v>
      </c>
      <c r="F31" s="34">
        <v>74.7</v>
      </c>
      <c r="G31" s="34">
        <v>32</v>
      </c>
      <c r="H31" s="137">
        <f>G31</f>
        <v>32</v>
      </c>
      <c r="I31" s="136">
        <v>2071.3200000000002</v>
      </c>
      <c r="J31" s="91">
        <v>0.96499999999999997</v>
      </c>
      <c r="K31" s="92">
        <v>0.11700000000000001</v>
      </c>
      <c r="L31" s="90">
        <f t="shared" si="11"/>
        <v>0.84799999999999998</v>
      </c>
      <c r="M31" s="92">
        <v>0</v>
      </c>
      <c r="N31" s="92">
        <v>7.0000000000000001E-3</v>
      </c>
      <c r="O31" s="90">
        <f t="shared" si="12"/>
        <v>-7.0000000000000001E-3</v>
      </c>
      <c r="P31" s="92">
        <v>3.5000000000000003E-2</v>
      </c>
      <c r="Q31" s="92">
        <v>0.875</v>
      </c>
      <c r="R31" s="90">
        <f t="shared" si="13"/>
        <v>-0.84</v>
      </c>
    </row>
  </sheetData>
  <mergeCells count="12">
    <mergeCell ref="A1:A2"/>
    <mergeCell ref="C1:C2"/>
    <mergeCell ref="D1:D2"/>
    <mergeCell ref="E1:E2"/>
    <mergeCell ref="G1:G2"/>
    <mergeCell ref="B1:B2"/>
    <mergeCell ref="F1:F2"/>
    <mergeCell ref="I1:I2"/>
    <mergeCell ref="J1:L1"/>
    <mergeCell ref="M1:O1"/>
    <mergeCell ref="P1:R1"/>
    <mergeCell ref="H1:H2"/>
  </mergeCells>
  <phoneticPr fontId="1" type="noConversion"/>
  <conditionalFormatting sqref="L1:L1048576">
    <cfRule type="top10" dxfId="18" priority="1" percent="1" rank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96A-322F-4AD3-A595-EC2EEF5FB330}">
  <dimension ref="A1:V36"/>
  <sheetViews>
    <sheetView tabSelected="1" zoomScale="115" zoomScaleNormal="115" workbookViewId="0">
      <selection activeCell="M15" sqref="M15"/>
    </sheetView>
  </sheetViews>
  <sheetFormatPr defaultRowHeight="15" x14ac:dyDescent="0.25"/>
  <cols>
    <col min="1" max="1" width="18.28515625" style="32" bestFit="1" customWidth="1"/>
    <col min="2" max="2" width="12.5703125" style="191" customWidth="1"/>
    <col min="3" max="3" width="23.85546875" style="208" bestFit="1" customWidth="1"/>
    <col min="4" max="5" width="7.7109375" style="195" customWidth="1"/>
    <col min="6" max="6" width="8.7109375" style="196" customWidth="1"/>
    <col min="7" max="7" width="15.140625" style="197" customWidth="1"/>
    <col min="8" max="8" width="10.5703125" style="198" customWidth="1"/>
    <col min="9" max="9" width="17.42578125" style="198" customWidth="1"/>
    <col min="10" max="10" width="7.28515625" style="199" customWidth="1"/>
    <col min="11" max="12" width="7.28515625" style="198" customWidth="1"/>
    <col min="13" max="13" width="7.28515625" style="199" customWidth="1"/>
    <col min="14" max="15" width="7.28515625" style="198" customWidth="1"/>
    <col min="16" max="16" width="7.28515625" style="199" customWidth="1"/>
    <col min="17" max="17" width="7.28515625" style="32" customWidth="1"/>
    <col min="18" max="18" width="6.85546875" style="32" bestFit="1" customWidth="1"/>
    <col min="19" max="19" width="10.7109375" style="32" bestFit="1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16384" width="9.140625" style="32"/>
  </cols>
  <sheetData>
    <row r="1" spans="1:22" s="30" customFormat="1" ht="15" customHeight="1" x14ac:dyDescent="0.25">
      <c r="A1" s="149" t="s">
        <v>111</v>
      </c>
      <c r="B1" s="157" t="s">
        <v>19</v>
      </c>
      <c r="C1" s="203" t="s">
        <v>121</v>
      </c>
      <c r="D1" s="144" t="s">
        <v>98</v>
      </c>
      <c r="E1" s="145" t="s">
        <v>29</v>
      </c>
      <c r="F1" s="145" t="s">
        <v>16</v>
      </c>
      <c r="G1" s="155" t="s">
        <v>169</v>
      </c>
      <c r="H1" s="147" t="s">
        <v>116</v>
      </c>
      <c r="I1" s="142" t="s">
        <v>28</v>
      </c>
      <c r="J1" s="144" t="s">
        <v>2</v>
      </c>
      <c r="K1" s="145"/>
      <c r="L1" s="146"/>
      <c r="M1" s="144" t="s">
        <v>4</v>
      </c>
      <c r="N1" s="145"/>
      <c r="O1" s="146"/>
      <c r="P1" s="144" t="s">
        <v>3</v>
      </c>
      <c r="Q1" s="145"/>
      <c r="R1" s="146"/>
      <c r="S1" s="128"/>
      <c r="T1" s="69"/>
      <c r="U1" s="69"/>
      <c r="V1" s="69"/>
    </row>
    <row r="2" spans="1:22" s="36" customFormat="1" ht="16.5" thickBot="1" x14ac:dyDescent="0.3">
      <c r="A2" s="150"/>
      <c r="B2" s="158"/>
      <c r="C2" s="204"/>
      <c r="D2" s="153"/>
      <c r="E2" s="154"/>
      <c r="F2" s="154"/>
      <c r="G2" s="156"/>
      <c r="H2" s="148"/>
      <c r="I2" s="143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8"/>
      <c r="T2" s="173"/>
      <c r="U2" s="173"/>
      <c r="V2" s="141"/>
    </row>
    <row r="3" spans="1:22" s="30" customFormat="1" x14ac:dyDescent="0.25">
      <c r="A3" s="30">
        <v>1550</v>
      </c>
      <c r="B3" s="35"/>
      <c r="C3" s="205" t="s">
        <v>74</v>
      </c>
      <c r="D3" s="82">
        <v>0</v>
      </c>
      <c r="E3" s="31">
        <v>0</v>
      </c>
      <c r="F3" s="31">
        <v>0</v>
      </c>
      <c r="G3" s="84">
        <v>235.89</v>
      </c>
      <c r="H3" s="134">
        <f>G3</f>
        <v>235.89</v>
      </c>
      <c r="I3" s="135">
        <f>H3</f>
        <v>235.89</v>
      </c>
      <c r="J3" s="95">
        <v>0.93600000000000005</v>
      </c>
      <c r="K3" s="96">
        <v>0.47499999999999998</v>
      </c>
      <c r="L3" s="90">
        <f>J3-K3</f>
        <v>0.46100000000000008</v>
      </c>
      <c r="M3" s="96">
        <v>0</v>
      </c>
      <c r="N3" s="96">
        <v>0</v>
      </c>
      <c r="O3" s="90">
        <f>M3-N3</f>
        <v>0</v>
      </c>
      <c r="P3" s="96">
        <v>6.4000000000000001E-2</v>
      </c>
      <c r="Q3" s="96">
        <v>0.52500000000000002</v>
      </c>
      <c r="R3" s="90">
        <f>P3-Q3</f>
        <v>-0.46100000000000002</v>
      </c>
      <c r="S3" s="128"/>
      <c r="T3" s="133" t="s">
        <v>112</v>
      </c>
      <c r="U3" s="69"/>
      <c r="V3" s="69"/>
    </row>
    <row r="4" spans="1:22" x14ac:dyDescent="0.2">
      <c r="A4" s="32" t="s">
        <v>124</v>
      </c>
      <c r="B4" s="35"/>
      <c r="C4" s="206" t="s">
        <v>168</v>
      </c>
      <c r="D4" s="82">
        <v>0</v>
      </c>
      <c r="E4" s="31">
        <v>0</v>
      </c>
      <c r="F4" s="31">
        <v>0</v>
      </c>
      <c r="G4" s="84">
        <v>190.25</v>
      </c>
      <c r="H4" s="134">
        <f>G4</f>
        <v>190.25</v>
      </c>
      <c r="I4" s="135">
        <f>H4</f>
        <v>190.25</v>
      </c>
      <c r="J4" s="95">
        <v>0.91200000000000003</v>
      </c>
      <c r="K4" s="96">
        <v>5.5E-2</v>
      </c>
      <c r="L4" s="90">
        <f>J4-K4</f>
        <v>0.85699999999999998</v>
      </c>
      <c r="M4" s="96">
        <v>2.1999999999999999E-2</v>
      </c>
      <c r="N4" s="96">
        <v>0.309</v>
      </c>
      <c r="O4" s="90">
        <f>M4-N4</f>
        <v>-0.28699999999999998</v>
      </c>
      <c r="P4" s="96">
        <v>6.6000000000000003E-2</v>
      </c>
      <c r="Q4" s="96">
        <v>0.63600000000000001</v>
      </c>
      <c r="R4" s="90">
        <f>P4-Q4</f>
        <v>-0.57000000000000006</v>
      </c>
      <c r="S4" s="128"/>
      <c r="T4" s="130" t="s">
        <v>113</v>
      </c>
      <c r="U4" s="69"/>
      <c r="V4" s="69"/>
    </row>
    <row r="5" spans="1:22" ht="15" customHeight="1" x14ac:dyDescent="0.25">
      <c r="A5" s="30"/>
      <c r="B5" s="35"/>
      <c r="C5" s="206"/>
      <c r="D5" s="82"/>
      <c r="E5" s="31"/>
      <c r="F5" s="31"/>
      <c r="G5" s="84"/>
      <c r="H5" s="134"/>
      <c r="I5" s="135"/>
      <c r="J5" s="95"/>
      <c r="K5" s="96"/>
      <c r="L5" s="90"/>
      <c r="M5" s="96"/>
      <c r="N5" s="96"/>
      <c r="O5" s="90"/>
      <c r="P5" s="96"/>
      <c r="Q5" s="96"/>
      <c r="R5" s="90"/>
      <c r="S5" s="128"/>
      <c r="T5" s="35" t="s">
        <v>114</v>
      </c>
      <c r="U5" s="69"/>
      <c r="V5" s="69"/>
    </row>
    <row r="6" spans="1:22" ht="15" customHeight="1" x14ac:dyDescent="0.25">
      <c r="A6" s="30"/>
      <c r="B6" s="35"/>
      <c r="C6" s="206"/>
      <c r="D6" s="82"/>
      <c r="E6" s="31"/>
      <c r="F6" s="31"/>
      <c r="G6" s="84"/>
      <c r="H6" s="134"/>
      <c r="I6" s="135"/>
      <c r="J6" s="95"/>
      <c r="K6" s="96"/>
      <c r="L6" s="90"/>
      <c r="M6" s="96"/>
      <c r="N6" s="96"/>
      <c r="O6" s="90"/>
      <c r="P6" s="96"/>
      <c r="Q6" s="96"/>
      <c r="R6" s="90"/>
      <c r="S6" s="128"/>
      <c r="T6" s="131"/>
      <c r="U6" s="69"/>
      <c r="V6" s="69"/>
    </row>
    <row r="7" spans="1:22" ht="15" customHeight="1" x14ac:dyDescent="0.25">
      <c r="B7" s="35"/>
      <c r="C7" s="206"/>
      <c r="D7" s="44"/>
      <c r="E7" s="34"/>
      <c r="F7" s="34"/>
      <c r="G7" s="84"/>
      <c r="H7" s="134"/>
      <c r="I7" s="136"/>
      <c r="J7" s="91"/>
      <c r="K7" s="92"/>
      <c r="L7" s="90"/>
      <c r="M7" s="92"/>
      <c r="N7" s="92"/>
      <c r="O7" s="90"/>
      <c r="P7" s="92"/>
      <c r="Q7" s="92"/>
      <c r="R7" s="90"/>
      <c r="S7" s="128"/>
    </row>
    <row r="8" spans="1:22" ht="15" customHeight="1" x14ac:dyDescent="0.25">
      <c r="B8" s="71"/>
      <c r="C8" s="206"/>
      <c r="D8" s="126"/>
      <c r="E8" s="34"/>
      <c r="F8" s="34"/>
      <c r="G8" s="84"/>
      <c r="H8" s="134"/>
      <c r="I8" s="136"/>
      <c r="J8" s="91"/>
      <c r="K8" s="92"/>
      <c r="L8" s="90"/>
      <c r="M8" s="92"/>
      <c r="N8" s="92"/>
      <c r="O8" s="90"/>
      <c r="P8" s="92"/>
      <c r="Q8" s="92"/>
      <c r="R8" s="90"/>
      <c r="S8" s="128"/>
      <c r="T8" s="189" t="s">
        <v>113</v>
      </c>
      <c r="U8" s="69" t="s">
        <v>82</v>
      </c>
      <c r="V8" s="190" t="s">
        <v>83</v>
      </c>
    </row>
    <row r="9" spans="1:22" ht="15" customHeight="1" x14ac:dyDescent="0.25">
      <c r="B9" s="71"/>
      <c r="C9" s="206"/>
      <c r="D9" s="126"/>
      <c r="E9" s="34"/>
      <c r="F9" s="34"/>
      <c r="G9" s="84"/>
      <c r="H9" s="134"/>
      <c r="I9" s="136"/>
      <c r="J9" s="91"/>
      <c r="K9" s="92"/>
      <c r="L9" s="90"/>
      <c r="M9" s="92"/>
      <c r="N9" s="92"/>
      <c r="O9" s="90"/>
      <c r="P9" s="92"/>
      <c r="Q9" s="92"/>
      <c r="R9" s="90"/>
      <c r="S9" s="128"/>
      <c r="T9" s="35" t="s">
        <v>128</v>
      </c>
      <c r="V9" s="191"/>
    </row>
    <row r="10" spans="1:22" x14ac:dyDescent="0.25">
      <c r="B10" s="71"/>
      <c r="C10" s="206"/>
      <c r="D10" s="126"/>
      <c r="E10" s="34"/>
      <c r="F10" s="34"/>
      <c r="G10" s="84"/>
      <c r="H10" s="134"/>
      <c r="I10" s="136"/>
      <c r="J10" s="91"/>
      <c r="K10" s="92"/>
      <c r="L10" s="90"/>
      <c r="M10" s="92"/>
      <c r="N10" s="92"/>
      <c r="O10" s="90"/>
      <c r="P10" s="92"/>
      <c r="Q10" s="92"/>
      <c r="R10" s="90"/>
      <c r="S10" s="128"/>
      <c r="T10" s="35" t="s">
        <v>129</v>
      </c>
      <c r="V10" s="191"/>
    </row>
    <row r="11" spans="1:22" ht="15" customHeight="1" x14ac:dyDescent="0.25">
      <c r="B11" s="35"/>
      <c r="C11" s="206"/>
      <c r="D11" s="44"/>
      <c r="E11" s="34"/>
      <c r="F11" s="34"/>
      <c r="G11" s="34"/>
      <c r="H11" s="137"/>
      <c r="I11" s="136"/>
      <c r="J11" s="91"/>
      <c r="K11" s="92"/>
      <c r="L11" s="90"/>
      <c r="M11" s="92"/>
      <c r="N11" s="92"/>
      <c r="O11" s="90"/>
      <c r="P11" s="92"/>
      <c r="Q11" s="92"/>
      <c r="R11" s="90"/>
      <c r="S11" s="128"/>
      <c r="T11" s="35" t="s">
        <v>130</v>
      </c>
      <c r="V11" s="191"/>
    </row>
    <row r="12" spans="1:22" ht="15" customHeight="1" x14ac:dyDescent="0.25">
      <c r="B12" s="35"/>
      <c r="C12" s="206"/>
      <c r="D12" s="44"/>
      <c r="E12" s="34"/>
      <c r="F12" s="34"/>
      <c r="G12" s="84"/>
      <c r="H12" s="134"/>
      <c r="I12" s="136"/>
      <c r="J12" s="91"/>
      <c r="K12" s="92"/>
      <c r="L12" s="90"/>
      <c r="M12" s="92"/>
      <c r="N12" s="92"/>
      <c r="O12" s="90"/>
      <c r="P12" s="92"/>
      <c r="Q12" s="92"/>
      <c r="R12" s="90"/>
      <c r="S12" s="128"/>
      <c r="T12" s="35" t="s">
        <v>131</v>
      </c>
      <c r="V12" s="191"/>
    </row>
    <row r="13" spans="1:22" ht="15" customHeight="1" x14ac:dyDescent="0.25">
      <c r="A13" s="30"/>
      <c r="B13" s="35"/>
      <c r="C13" s="206"/>
      <c r="D13" s="44"/>
      <c r="E13" s="34"/>
      <c r="F13" s="34"/>
      <c r="G13" s="84"/>
      <c r="H13" s="134"/>
      <c r="I13" s="136"/>
      <c r="J13" s="91"/>
      <c r="K13" s="92"/>
      <c r="L13" s="41"/>
      <c r="M13" s="92"/>
      <c r="N13" s="92"/>
      <c r="O13" s="41"/>
      <c r="P13" s="92"/>
      <c r="Q13" s="92"/>
      <c r="R13" s="41"/>
      <c r="S13" s="128"/>
      <c r="T13" s="35" t="s">
        <v>132</v>
      </c>
      <c r="V13" s="192"/>
    </row>
    <row r="14" spans="1:22" ht="15" customHeight="1" x14ac:dyDescent="0.25">
      <c r="B14" s="35"/>
      <c r="C14" s="206"/>
      <c r="D14" s="44"/>
      <c r="E14" s="34"/>
      <c r="F14" s="34"/>
      <c r="G14" s="84"/>
      <c r="H14" s="134"/>
      <c r="I14" s="136"/>
      <c r="J14" s="91"/>
      <c r="K14" s="92"/>
      <c r="L14" s="90"/>
      <c r="M14" s="92"/>
      <c r="N14" s="92"/>
      <c r="O14" s="90"/>
      <c r="P14" s="92"/>
      <c r="Q14" s="92"/>
      <c r="R14" s="90"/>
      <c r="S14" s="128"/>
      <c r="T14" s="138" t="s">
        <v>133</v>
      </c>
      <c r="U14" s="138">
        <v>3.2854000000000001</v>
      </c>
      <c r="V14" s="202">
        <v>0</v>
      </c>
    </row>
    <row r="15" spans="1:22" ht="15" customHeight="1" x14ac:dyDescent="0.25">
      <c r="A15" s="30"/>
      <c r="B15" s="35"/>
      <c r="C15" s="206"/>
      <c r="D15" s="44"/>
      <c r="E15" s="34"/>
      <c r="F15" s="34"/>
      <c r="G15" s="84"/>
      <c r="H15" s="134"/>
      <c r="I15" s="136"/>
      <c r="J15" s="91"/>
      <c r="K15" s="92"/>
      <c r="L15" s="90"/>
      <c r="M15" s="92"/>
      <c r="N15" s="92"/>
      <c r="O15" s="90"/>
      <c r="P15" s="92"/>
      <c r="Q15" s="92"/>
      <c r="R15" s="90"/>
      <c r="S15" s="128"/>
      <c r="T15" s="35" t="s">
        <v>134</v>
      </c>
      <c r="U15" s="35">
        <v>4.0499000000000001</v>
      </c>
      <c r="V15" s="191">
        <v>2.14E-4</v>
      </c>
    </row>
    <row r="16" spans="1:22" ht="15" customHeight="1" x14ac:dyDescent="0.25">
      <c r="B16" s="35"/>
      <c r="C16" s="206"/>
      <c r="D16" s="44"/>
      <c r="E16" s="34"/>
      <c r="F16" s="34"/>
      <c r="G16" s="84"/>
      <c r="H16" s="134"/>
      <c r="I16" s="136"/>
      <c r="J16" s="91"/>
      <c r="K16" s="92"/>
      <c r="L16" s="90"/>
      <c r="M16" s="92"/>
      <c r="N16" s="92"/>
      <c r="O16" s="90"/>
      <c r="P16" s="92"/>
      <c r="Q16" s="92"/>
      <c r="R16" s="90"/>
      <c r="S16" s="128"/>
      <c r="T16" s="35" t="s">
        <v>135</v>
      </c>
      <c r="V16" s="191"/>
    </row>
    <row r="17" spans="1:22" ht="15" customHeight="1" x14ac:dyDescent="0.25">
      <c r="B17" s="35"/>
      <c r="C17" s="206"/>
      <c r="D17" s="44"/>
      <c r="E17" s="34"/>
      <c r="F17" s="34"/>
      <c r="G17" s="84"/>
      <c r="H17" s="134"/>
      <c r="I17" s="136"/>
      <c r="J17" s="91"/>
      <c r="K17" s="92"/>
      <c r="L17" s="90"/>
      <c r="M17" s="92"/>
      <c r="N17" s="92"/>
      <c r="O17" s="90"/>
      <c r="P17" s="92"/>
      <c r="Q17" s="92"/>
      <c r="R17" s="90"/>
      <c r="S17" s="128"/>
    </row>
    <row r="18" spans="1:22" ht="15" customHeight="1" x14ac:dyDescent="0.25">
      <c r="B18" s="35"/>
      <c r="C18" s="206"/>
      <c r="D18" s="44"/>
      <c r="E18" s="34"/>
      <c r="F18" s="34"/>
      <c r="G18" s="34"/>
      <c r="H18" s="137"/>
      <c r="I18" s="136"/>
      <c r="J18" s="91"/>
      <c r="K18" s="92"/>
      <c r="L18" s="90"/>
      <c r="M18" s="92"/>
      <c r="N18" s="92"/>
      <c r="O18" s="90"/>
      <c r="P18" s="92"/>
      <c r="Q18" s="92"/>
      <c r="R18" s="90"/>
      <c r="S18" s="128"/>
      <c r="T18" s="35" t="s">
        <v>166</v>
      </c>
      <c r="U18" s="35">
        <v>4.0735999999999999</v>
      </c>
      <c r="V18" s="35">
        <v>9.1999999999999998E-3</v>
      </c>
    </row>
    <row r="19" spans="1:22" ht="15" customHeight="1" x14ac:dyDescent="0.25">
      <c r="B19" s="35"/>
      <c r="C19" s="206"/>
      <c r="D19" s="44"/>
      <c r="E19" s="34"/>
      <c r="F19" s="34"/>
      <c r="G19" s="34"/>
      <c r="H19" s="137"/>
      <c r="I19" s="136"/>
      <c r="J19" s="91"/>
      <c r="K19" s="92"/>
      <c r="L19" s="90"/>
      <c r="M19" s="92"/>
      <c r="N19" s="92"/>
      <c r="O19" s="90"/>
      <c r="P19" s="92"/>
      <c r="Q19" s="92"/>
      <c r="R19" s="90"/>
      <c r="S19" s="128"/>
      <c r="T19" s="35" t="s">
        <v>167</v>
      </c>
      <c r="U19" s="35">
        <v>6.4644000000000004</v>
      </c>
      <c r="V19" s="35">
        <v>0.91980200000000001</v>
      </c>
    </row>
    <row r="20" spans="1:22" ht="15" customHeight="1" x14ac:dyDescent="0.25">
      <c r="B20" s="35"/>
      <c r="C20" s="206"/>
      <c r="D20" s="44"/>
      <c r="E20" s="34"/>
      <c r="F20" s="34"/>
      <c r="G20" s="34"/>
      <c r="H20" s="137"/>
      <c r="I20" s="136"/>
      <c r="J20" s="91"/>
      <c r="K20" s="92"/>
      <c r="L20" s="90"/>
      <c r="M20" s="92"/>
      <c r="N20" s="92"/>
      <c r="O20" s="90"/>
      <c r="P20" s="92"/>
      <c r="Q20" s="92"/>
      <c r="R20" s="90"/>
      <c r="S20" s="128"/>
    </row>
    <row r="21" spans="1:22" ht="15" customHeight="1" x14ac:dyDescent="0.25">
      <c r="B21" s="35"/>
      <c r="C21" s="206"/>
      <c r="D21" s="44"/>
      <c r="E21" s="34"/>
      <c r="F21" s="34"/>
      <c r="G21" s="34"/>
      <c r="H21" s="137"/>
      <c r="I21" s="136"/>
      <c r="J21" s="91"/>
      <c r="K21" s="92"/>
      <c r="L21" s="90"/>
      <c r="M21" s="92"/>
      <c r="N21" s="92"/>
      <c r="O21" s="90"/>
      <c r="P21" s="92"/>
      <c r="Q21" s="92"/>
      <c r="R21" s="90"/>
      <c r="S21" s="128"/>
      <c r="T21" s="35" t="s">
        <v>171</v>
      </c>
      <c r="U21" s="35">
        <v>2.8593000000000002</v>
      </c>
      <c r="V21" s="35">
        <v>0.28114</v>
      </c>
    </row>
    <row r="22" spans="1:22" ht="15" customHeight="1" x14ac:dyDescent="0.25">
      <c r="B22" s="35"/>
      <c r="C22" s="206"/>
      <c r="D22" s="44"/>
      <c r="E22" s="34"/>
      <c r="F22" s="34"/>
      <c r="G22" s="34"/>
      <c r="H22" s="137"/>
      <c r="I22" s="136"/>
      <c r="J22" s="91"/>
      <c r="K22" s="92"/>
      <c r="L22" s="90"/>
      <c r="M22" s="92"/>
      <c r="N22" s="92"/>
      <c r="O22" s="42"/>
      <c r="P22" s="92"/>
      <c r="Q22" s="92"/>
      <c r="R22" s="42"/>
      <c r="S22" s="128"/>
      <c r="T22" s="35" t="s">
        <v>170</v>
      </c>
      <c r="U22" s="35">
        <v>1.6076999999999999</v>
      </c>
      <c r="V22" s="35">
        <v>2.722073</v>
      </c>
    </row>
    <row r="23" spans="1:22" ht="15" customHeight="1" x14ac:dyDescent="0.25">
      <c r="B23" s="35"/>
      <c r="C23" s="206"/>
      <c r="D23" s="44"/>
      <c r="E23" s="34"/>
      <c r="F23" s="34"/>
      <c r="G23" s="34"/>
      <c r="H23" s="137"/>
      <c r="I23" s="136"/>
      <c r="J23" s="91"/>
      <c r="K23" s="92"/>
      <c r="L23" s="90"/>
      <c r="M23" s="92"/>
      <c r="N23" s="92"/>
      <c r="O23" s="42"/>
      <c r="P23" s="92"/>
      <c r="Q23" s="92"/>
      <c r="R23" s="42"/>
      <c r="S23" s="128"/>
    </row>
    <row r="24" spans="1:22" ht="15" customHeight="1" x14ac:dyDescent="0.25">
      <c r="B24" s="35"/>
      <c r="C24" s="206"/>
      <c r="D24" s="44"/>
      <c r="E24" s="34"/>
      <c r="F24" s="34"/>
      <c r="G24" s="34"/>
      <c r="H24" s="137"/>
      <c r="I24" s="136"/>
      <c r="J24" s="91"/>
      <c r="K24" s="92"/>
      <c r="L24" s="90"/>
      <c r="M24" s="92"/>
      <c r="N24" s="92"/>
      <c r="O24" s="90"/>
      <c r="P24" s="92"/>
      <c r="Q24" s="92"/>
      <c r="R24" s="90"/>
      <c r="S24" s="128"/>
    </row>
    <row r="25" spans="1:22" ht="15" customHeight="1" x14ac:dyDescent="0.25">
      <c r="B25" s="35"/>
      <c r="C25" s="206"/>
      <c r="D25" s="44"/>
      <c r="E25" s="34"/>
      <c r="F25" s="34"/>
      <c r="G25" s="34"/>
      <c r="H25" s="137"/>
      <c r="I25" s="136"/>
      <c r="J25" s="91"/>
      <c r="K25" s="92"/>
      <c r="L25" s="90"/>
      <c r="M25" s="92"/>
      <c r="N25" s="92"/>
      <c r="O25" s="90"/>
      <c r="P25" s="92"/>
      <c r="Q25" s="92"/>
      <c r="R25" s="90"/>
      <c r="S25" s="128"/>
    </row>
    <row r="26" spans="1:22" ht="15" customHeight="1" x14ac:dyDescent="0.25">
      <c r="B26" s="35"/>
      <c r="C26" s="206"/>
      <c r="D26" s="44"/>
      <c r="E26" s="34"/>
      <c r="F26" s="34"/>
      <c r="G26" s="34"/>
      <c r="H26" s="137"/>
      <c r="I26" s="136"/>
      <c r="J26" s="91"/>
      <c r="K26" s="92"/>
      <c r="L26" s="90"/>
      <c r="M26" s="92"/>
      <c r="N26" s="92"/>
      <c r="O26" s="90"/>
      <c r="P26" s="92"/>
      <c r="Q26" s="92"/>
      <c r="R26" s="90"/>
      <c r="S26" s="128"/>
    </row>
    <row r="27" spans="1:22" ht="15" customHeight="1" x14ac:dyDescent="0.25">
      <c r="B27" s="35"/>
      <c r="C27" s="206"/>
      <c r="D27" s="44"/>
      <c r="E27" s="34"/>
      <c r="F27" s="34"/>
      <c r="G27" s="34"/>
      <c r="H27" s="137"/>
      <c r="I27" s="136"/>
      <c r="J27" s="91"/>
      <c r="K27" s="92"/>
      <c r="L27" s="90"/>
      <c r="M27" s="92"/>
      <c r="N27" s="92"/>
      <c r="O27" s="90"/>
      <c r="P27" s="92"/>
      <c r="Q27" s="92"/>
      <c r="R27" s="90"/>
      <c r="S27" s="128"/>
    </row>
    <row r="28" spans="1:22" ht="15" customHeight="1" x14ac:dyDescent="0.25">
      <c r="A28" s="35"/>
      <c r="B28" s="35"/>
      <c r="C28" s="206"/>
      <c r="D28" s="44"/>
      <c r="E28" s="34"/>
      <c r="F28" s="34"/>
      <c r="G28" s="34"/>
      <c r="H28" s="137"/>
      <c r="I28" s="136"/>
      <c r="J28" s="91"/>
      <c r="K28" s="92"/>
      <c r="L28" s="90"/>
      <c r="M28" s="92"/>
      <c r="N28" s="92"/>
      <c r="O28" s="90"/>
      <c r="P28" s="92"/>
      <c r="Q28" s="92"/>
      <c r="R28" s="90"/>
      <c r="S28" s="128"/>
      <c r="T28" s="189"/>
      <c r="U28" s="69"/>
      <c r="V28" s="190"/>
    </row>
    <row r="29" spans="1:22" ht="15" customHeight="1" x14ac:dyDescent="0.25">
      <c r="A29" s="35"/>
      <c r="B29" s="35"/>
      <c r="C29" s="206"/>
      <c r="D29" s="44"/>
      <c r="E29" s="34"/>
      <c r="F29" s="34"/>
      <c r="G29" s="34"/>
      <c r="H29" s="137"/>
      <c r="I29" s="136"/>
      <c r="J29" s="91"/>
      <c r="K29" s="92"/>
      <c r="L29" s="90"/>
      <c r="M29" s="92"/>
      <c r="N29" s="92"/>
      <c r="O29" s="90"/>
      <c r="P29" s="92"/>
      <c r="Q29" s="92"/>
      <c r="R29" s="90"/>
      <c r="S29" s="128"/>
      <c r="V29" s="191"/>
    </row>
    <row r="30" spans="1:22" ht="15" customHeight="1" x14ac:dyDescent="0.25">
      <c r="A30" s="35"/>
      <c r="B30" s="35"/>
      <c r="C30" s="206"/>
      <c r="D30" s="44"/>
      <c r="E30" s="34"/>
      <c r="F30" s="34"/>
      <c r="G30" s="34"/>
      <c r="H30" s="137"/>
      <c r="I30" s="136"/>
      <c r="J30" s="91"/>
      <c r="K30" s="92"/>
      <c r="L30" s="90"/>
      <c r="M30" s="92"/>
      <c r="N30" s="92"/>
      <c r="O30" s="90"/>
      <c r="P30" s="92"/>
      <c r="Q30" s="92"/>
      <c r="R30" s="90"/>
      <c r="S30" s="128"/>
      <c r="V30" s="191"/>
    </row>
    <row r="31" spans="1:22" ht="15" customHeight="1" x14ac:dyDescent="0.25">
      <c r="B31" s="35"/>
      <c r="C31" s="206"/>
      <c r="D31" s="44"/>
      <c r="E31" s="34"/>
      <c r="F31" s="34"/>
      <c r="G31" s="34"/>
      <c r="H31" s="137"/>
      <c r="I31" s="136"/>
      <c r="J31" s="91"/>
      <c r="K31" s="92"/>
      <c r="L31" s="90"/>
      <c r="M31" s="92"/>
      <c r="N31" s="92"/>
      <c r="O31" s="90"/>
      <c r="P31" s="92"/>
      <c r="Q31" s="92"/>
      <c r="R31" s="90"/>
      <c r="S31" s="128"/>
      <c r="V31" s="191"/>
    </row>
    <row r="32" spans="1:22" ht="15" customHeight="1" x14ac:dyDescent="0.25">
      <c r="A32" s="128"/>
      <c r="B32" s="128"/>
      <c r="C32" s="207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V32" s="191"/>
    </row>
    <row r="33" spans="1:22" ht="15" customHeight="1" x14ac:dyDescent="0.25">
      <c r="A33" s="128"/>
      <c r="B33" s="128"/>
      <c r="C33" s="207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V33" s="192"/>
    </row>
    <row r="34" spans="1:22" x14ac:dyDescent="0.25">
      <c r="T34" s="200"/>
      <c r="U34" s="200"/>
      <c r="V34" s="201"/>
    </row>
    <row r="35" spans="1:22" x14ac:dyDescent="0.25">
      <c r="V35" s="191"/>
    </row>
    <row r="36" spans="1:22" x14ac:dyDescent="0.25">
      <c r="V36" s="191"/>
    </row>
  </sheetData>
  <mergeCells count="13">
    <mergeCell ref="H1:H2"/>
    <mergeCell ref="I1:I2"/>
    <mergeCell ref="J1:L1"/>
    <mergeCell ref="M1:O1"/>
    <mergeCell ref="P1:R1"/>
    <mergeCell ref="T2:U2"/>
    <mergeCell ref="A1:A2"/>
    <mergeCell ref="B1:B2"/>
    <mergeCell ref="C1:C2"/>
    <mergeCell ref="D1:D2"/>
    <mergeCell ref="E1:E2"/>
    <mergeCell ref="F1:F2"/>
    <mergeCell ref="G1:G2"/>
  </mergeCells>
  <conditionalFormatting sqref="J34:J1048576">
    <cfRule type="top10" dxfId="17" priority="2" percent="1" rank="25"/>
  </conditionalFormatting>
  <conditionalFormatting sqref="L1:L31">
    <cfRule type="top10" dxfId="0" priority="1" percent="1" rank="2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zoomScale="130" zoomScaleNormal="130" workbookViewId="0">
      <selection activeCell="C14" sqref="C14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31" t="s">
        <v>68</v>
      </c>
      <c r="C1" s="151" t="s">
        <v>69</v>
      </c>
      <c r="D1" s="30" t="s">
        <v>67</v>
      </c>
      <c r="E1" s="144" t="s">
        <v>30</v>
      </c>
      <c r="F1" s="145" t="s">
        <v>29</v>
      </c>
      <c r="G1" s="155" t="s">
        <v>32</v>
      </c>
      <c r="H1" s="161" t="s">
        <v>66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49" t="s">
        <v>72</v>
      </c>
    </row>
    <row r="2" spans="1:25" s="36" customFormat="1" ht="16.5" thickBot="1" x14ac:dyDescent="0.3">
      <c r="A2" s="150"/>
      <c r="B2" s="86"/>
      <c r="C2" s="152"/>
      <c r="E2" s="153"/>
      <c r="F2" s="154"/>
      <c r="G2" s="156"/>
      <c r="H2" s="162"/>
      <c r="I2" s="154"/>
      <c r="J2" s="16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4"/>
      <c r="W2" s="154"/>
      <c r="X2" s="154"/>
      <c r="Y2" s="154"/>
    </row>
    <row r="3" spans="1:25" s="30" customFormat="1" x14ac:dyDescent="0.25">
      <c r="A3" s="30">
        <v>532</v>
      </c>
      <c r="B3" s="30">
        <v>0</v>
      </c>
      <c r="C3" s="45" t="s">
        <v>74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7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>K3-L3</f>
        <v>7.3000000000000009E-2</v>
      </c>
      <c r="N3" s="89">
        <v>0.61799999999999999</v>
      </c>
      <c r="O3" s="89">
        <v>0.497</v>
      </c>
      <c r="P3" s="90">
        <f>N3-O3</f>
        <v>0.121</v>
      </c>
      <c r="Q3" s="89">
        <v>0.3</v>
      </c>
      <c r="R3" s="89">
        <v>0.495</v>
      </c>
      <c r="S3" s="90">
        <f>Q3-R3</f>
        <v>-0.19500000000000001</v>
      </c>
      <c r="T3" s="69"/>
    </row>
    <row r="4" spans="1:25" s="30" customFormat="1" x14ac:dyDescent="0.25">
      <c r="B4" s="32">
        <v>0</v>
      </c>
      <c r="C4" s="38" t="s">
        <v>75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ref="M4:M7" si="1">K4-L4</f>
        <v>0.13500000000000001</v>
      </c>
      <c r="N4" s="94">
        <v>0.83799999999999997</v>
      </c>
      <c r="O4" s="94">
        <v>0.93</v>
      </c>
      <c r="P4" s="97">
        <f t="shared" ref="P4:P7" si="2">N4-O4</f>
        <v>-9.2000000000000082E-2</v>
      </c>
      <c r="Q4" s="94">
        <v>0</v>
      </c>
      <c r="R4" s="94">
        <v>4.5999999999999999E-2</v>
      </c>
      <c r="S4" s="97">
        <f t="shared" ref="S4:S7" si="3">Q4-R4</f>
        <v>-4.5999999999999999E-2</v>
      </c>
      <c r="T4" s="69"/>
    </row>
    <row r="5" spans="1:25" x14ac:dyDescent="0.25">
      <c r="B5" s="32">
        <v>0</v>
      </c>
      <c r="C5" s="38" t="s">
        <v>76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75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75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75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>G8</f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>K8-L8</f>
        <v>0.16700000000000001</v>
      </c>
      <c r="N8" s="94">
        <v>0.78</v>
      </c>
      <c r="O8" s="94">
        <v>0.89</v>
      </c>
      <c r="P8" s="97">
        <f>N8-O8</f>
        <v>-0.10999999999999999</v>
      </c>
      <c r="Q8" s="94">
        <v>0</v>
      </c>
      <c r="R8" s="94">
        <v>5.2999999999999999E-2</v>
      </c>
      <c r="S8" s="97">
        <f>Q8-R8</f>
        <v>-5.2999999999999999E-2</v>
      </c>
    </row>
    <row r="9" spans="1:25" x14ac:dyDescent="0.25">
      <c r="A9" s="30"/>
      <c r="B9" s="32">
        <v>2</v>
      </c>
      <c r="C9" s="38" t="s">
        <v>75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>G9</f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>K9-L9</f>
        <v>0.19400000000000003</v>
      </c>
      <c r="N9" s="92">
        <v>0.66500000000000004</v>
      </c>
      <c r="O9" s="92">
        <v>0.79</v>
      </c>
      <c r="P9" s="97">
        <f>N9-O9</f>
        <v>-0.125</v>
      </c>
      <c r="Q9" s="92">
        <v>0</v>
      </c>
      <c r="R9" s="92">
        <v>7.0999999999999994E-2</v>
      </c>
      <c r="S9" s="97">
        <f>Q9-R9</f>
        <v>-7.0999999999999994E-2</v>
      </c>
    </row>
    <row r="10" spans="1:25" x14ac:dyDescent="0.25">
      <c r="A10" s="30"/>
      <c r="B10" s="32">
        <v>1</v>
      </c>
      <c r="C10" s="38" t="s">
        <v>75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>G10</f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>K10-L10</f>
        <v>0.10300000000000001</v>
      </c>
      <c r="N10" s="92">
        <v>0.86899999999999999</v>
      </c>
      <c r="O10" s="92">
        <v>0.89</v>
      </c>
      <c r="P10" s="41">
        <f>N10-O10</f>
        <v>-2.1000000000000019E-2</v>
      </c>
      <c r="Q10" s="92">
        <v>0</v>
      </c>
      <c r="R10" s="92">
        <v>0.08</v>
      </c>
      <c r="S10" s="41">
        <f>Q10-R10</f>
        <v>-0.08</v>
      </c>
    </row>
    <row r="11" spans="1:25" x14ac:dyDescent="0.25">
      <c r="B11" s="32">
        <v>2</v>
      </c>
      <c r="C11" s="38" t="s">
        <v>75</v>
      </c>
      <c r="D11" s="38">
        <v>3</v>
      </c>
      <c r="E11" s="34">
        <v>32.700000000000003</v>
      </c>
      <c r="F11" s="34">
        <v>90.1</v>
      </c>
      <c r="G11" s="84">
        <v>31.9</v>
      </c>
      <c r="H11" s="112">
        <f>G11</f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>K11-L11</f>
        <v>0.13600000000000001</v>
      </c>
      <c r="N11" s="92">
        <v>0.80300000000000005</v>
      </c>
      <c r="O11" s="92">
        <v>0.89</v>
      </c>
      <c r="P11" s="97">
        <f>N11-O11</f>
        <v>-8.6999999999999966E-2</v>
      </c>
      <c r="Q11" s="92">
        <v>0</v>
      </c>
      <c r="R11" s="92">
        <v>4.5999999999999999E-2</v>
      </c>
      <c r="S11" s="97">
        <f>Q11-R11</f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77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>K13-L13</f>
        <v>0.26100000000000001</v>
      </c>
      <c r="N13" s="92">
        <v>0.57399999999999995</v>
      </c>
      <c r="O13" s="92">
        <v>0.78</v>
      </c>
      <c r="P13" s="97">
        <f>N13-O13</f>
        <v>-0.20600000000000007</v>
      </c>
      <c r="Q13" s="92">
        <v>0</v>
      </c>
      <c r="R13" s="92">
        <v>5.7000000000000002E-2</v>
      </c>
      <c r="S13" s="97">
        <f>Q13-R13</f>
        <v>-5.7000000000000002E-2</v>
      </c>
      <c r="T13" s="31"/>
    </row>
    <row r="14" spans="1:25" x14ac:dyDescent="0.25">
      <c r="B14" s="32">
        <v>0</v>
      </c>
      <c r="C14" s="38" t="s">
        <v>77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ref="H14:H18" si="4">G14*2</f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ref="M14:M18" si="5">K14-L14</f>
        <v>0.159</v>
      </c>
      <c r="N14" s="92">
        <v>0.78</v>
      </c>
      <c r="O14" s="92">
        <v>0.84</v>
      </c>
      <c r="P14" s="97">
        <f t="shared" ref="P14:P18" si="6">N14-O14</f>
        <v>-5.9999999999999942E-2</v>
      </c>
      <c r="Q14" s="92">
        <v>0</v>
      </c>
      <c r="R14" s="92">
        <v>0.1</v>
      </c>
      <c r="S14" s="97">
        <f t="shared" ref="S14:S18" si="7">Q14-R14</f>
        <v>-0.1</v>
      </c>
    </row>
    <row r="15" spans="1:25" x14ac:dyDescent="0.25">
      <c r="B15" s="32">
        <v>1</v>
      </c>
      <c r="C15" s="81" t="s">
        <v>77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77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77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77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123" t="s">
        <v>91</v>
      </c>
      <c r="C20" s="121" t="s">
        <v>92</v>
      </c>
      <c r="E20" s="122" t="s">
        <v>86</v>
      </c>
      <c r="F20" s="34">
        <v>96.08</v>
      </c>
      <c r="G20" s="84">
        <v>67.150000000000006</v>
      </c>
      <c r="H20" s="98">
        <f>G20</f>
        <v>67.150000000000006</v>
      </c>
      <c r="I20" s="31">
        <v>0</v>
      </c>
      <c r="J20" s="43">
        <v>238.3</v>
      </c>
      <c r="K20" s="91">
        <v>0.151</v>
      </c>
      <c r="L20" s="92">
        <v>2.1000000000000001E-2</v>
      </c>
      <c r="M20" s="97">
        <f>K20-L20</f>
        <v>0.13</v>
      </c>
      <c r="N20" s="92">
        <v>0.72099999999999997</v>
      </c>
      <c r="O20" s="92">
        <v>0.71499999999999997</v>
      </c>
      <c r="P20" s="97">
        <f>N20-O20</f>
        <v>6.0000000000000053E-3</v>
      </c>
      <c r="Q20" s="92">
        <v>0.128</v>
      </c>
      <c r="R20" s="92">
        <v>0.26400000000000001</v>
      </c>
      <c r="S20" s="97">
        <f>Q20-R20</f>
        <v>-0.13600000000000001</v>
      </c>
      <c r="T20" s="34"/>
    </row>
    <row r="21" spans="1:20" x14ac:dyDescent="0.25">
      <c r="A21" s="30" t="s">
        <v>88</v>
      </c>
      <c r="C21" s="32" t="s">
        <v>85</v>
      </c>
      <c r="D21" s="37"/>
      <c r="E21" s="122" t="s">
        <v>86</v>
      </c>
      <c r="F21" s="34">
        <v>96.08</v>
      </c>
      <c r="G21" s="84">
        <v>5.09</v>
      </c>
      <c r="H21" s="98">
        <f>G21</f>
        <v>5.09</v>
      </c>
      <c r="I21" s="120" t="s">
        <v>87</v>
      </c>
      <c r="J21" s="43">
        <v>218.5</v>
      </c>
      <c r="K21" s="91">
        <v>0.65800000000000003</v>
      </c>
      <c r="L21" s="92">
        <v>0.437</v>
      </c>
      <c r="M21" s="97">
        <f>K21-L21</f>
        <v>0.22100000000000003</v>
      </c>
      <c r="N21" s="92">
        <v>0.34200000000000003</v>
      </c>
      <c r="O21" s="92">
        <v>0.52400000000000002</v>
      </c>
      <c r="P21" s="97">
        <f>N21-O21</f>
        <v>-0.182</v>
      </c>
      <c r="Q21" s="92">
        <v>0</v>
      </c>
      <c r="R21" s="92">
        <v>3.9E-2</v>
      </c>
      <c r="S21" s="97">
        <f>Q21-R21</f>
        <v>-3.9E-2</v>
      </c>
      <c r="T21" s="34"/>
    </row>
    <row r="22" spans="1:20" s="30" customFormat="1" x14ac:dyDescent="0.25">
      <c r="A22" s="32" t="s">
        <v>89</v>
      </c>
      <c r="B22" s="32"/>
      <c r="C22" s="32" t="s">
        <v>85</v>
      </c>
      <c r="D22" s="38"/>
      <c r="E22" s="122" t="s">
        <v>86</v>
      </c>
      <c r="F22" s="34">
        <v>96.08</v>
      </c>
      <c r="G22" s="84">
        <v>7.6</v>
      </c>
      <c r="H22" s="98">
        <f>G22</f>
        <v>7.6</v>
      </c>
      <c r="I22" s="120" t="s">
        <v>90</v>
      </c>
      <c r="J22" s="43">
        <f>217.7</f>
        <v>217.7</v>
      </c>
      <c r="K22" s="91">
        <v>0.58599999999999997</v>
      </c>
      <c r="L22" s="92">
        <v>0.35299999999999998</v>
      </c>
      <c r="M22" s="90">
        <f>K22-L22</f>
        <v>0.23299999999999998</v>
      </c>
      <c r="N22" s="92">
        <v>0.41299999999999998</v>
      </c>
      <c r="O22" s="92">
        <v>0.59099999999999997</v>
      </c>
      <c r="P22" s="90">
        <f>N22-O22</f>
        <v>-0.17799999999999999</v>
      </c>
      <c r="Q22" s="92">
        <v>0</v>
      </c>
      <c r="R22" s="92">
        <v>5.6000000000000001E-2</v>
      </c>
      <c r="S22" s="90">
        <f>Q22-R22</f>
        <v>-5.6000000000000001E-2</v>
      </c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82</v>
      </c>
      <c r="C24" s="37" t="s">
        <v>83</v>
      </c>
      <c r="M24" s="109"/>
      <c r="P24" s="97"/>
      <c r="S24" s="97"/>
      <c r="T24" s="34"/>
    </row>
    <row r="25" spans="1:20" x14ac:dyDescent="0.25">
      <c r="A25" s="30" t="s">
        <v>80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81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3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A1:A2"/>
    <mergeCell ref="C1:C2"/>
    <mergeCell ref="E1:E2"/>
    <mergeCell ref="F1:F2"/>
    <mergeCell ref="Q1:S1"/>
    <mergeCell ref="T1:T2"/>
    <mergeCell ref="V2:W2"/>
    <mergeCell ref="X2:Y2"/>
    <mergeCell ref="G1:G2"/>
    <mergeCell ref="H1:H2"/>
    <mergeCell ref="I1:I2"/>
    <mergeCell ref="J1:J2"/>
    <mergeCell ref="K1:M1"/>
    <mergeCell ref="N1:P1"/>
  </mergeCells>
  <conditionalFormatting sqref="M1:M1048576">
    <cfRule type="top10" dxfId="16" priority="1" percent="1" rank="25"/>
  </conditionalFormatting>
  <hyperlinks>
    <hyperlink ref="A20" r:id="rId1" xr:uid="{0CA2BC15-2917-4413-A3B6-CA9BB1B2A3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64" t="s">
        <v>69</v>
      </c>
      <c r="D1" s="30" t="s">
        <v>67</v>
      </c>
      <c r="E1" s="144" t="s">
        <v>30</v>
      </c>
      <c r="F1" s="145" t="s">
        <v>29</v>
      </c>
      <c r="G1" s="155" t="s">
        <v>32</v>
      </c>
      <c r="H1" s="163" t="s">
        <v>27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49" t="s">
        <v>72</v>
      </c>
    </row>
    <row r="2" spans="1:25" s="36" customFormat="1" ht="16.5" thickBot="1" x14ac:dyDescent="0.3">
      <c r="A2" s="150"/>
      <c r="B2" s="115"/>
      <c r="C2" s="165"/>
      <c r="E2" s="153"/>
      <c r="F2" s="154"/>
      <c r="G2" s="156"/>
      <c r="H2" s="150"/>
      <c r="I2" s="154"/>
      <c r="J2" s="16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4"/>
      <c r="W2" s="154"/>
      <c r="X2" s="154"/>
      <c r="Y2" s="154"/>
    </row>
    <row r="3" spans="1:25" x14ac:dyDescent="0.25">
      <c r="A3" s="32">
        <v>600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75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75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75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78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78</v>
      </c>
      <c r="D11" s="117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77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79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79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79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79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phoneticPr fontId="1" type="noConversion"/>
  <conditionalFormatting sqref="M4:M17">
    <cfRule type="cellIs" dxfId="15" priority="1" operator="greaterThan">
      <formula>$M$3</formula>
    </cfRule>
  </conditionalFormatting>
  <conditionalFormatting sqref="M23:M25">
    <cfRule type="cellIs" dxfId="14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64" t="s">
        <v>69</v>
      </c>
      <c r="D1" s="30" t="s">
        <v>67</v>
      </c>
      <c r="E1" s="144" t="s">
        <v>30</v>
      </c>
      <c r="F1" s="145" t="s">
        <v>29</v>
      </c>
      <c r="G1" s="155" t="s">
        <v>32</v>
      </c>
      <c r="H1" s="163" t="s">
        <v>27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49" t="s">
        <v>72</v>
      </c>
    </row>
    <row r="2" spans="1:25" s="36" customFormat="1" ht="16.5" thickBot="1" x14ac:dyDescent="0.3">
      <c r="A2" s="150"/>
      <c r="B2" s="115"/>
      <c r="C2" s="165"/>
      <c r="E2" s="153"/>
      <c r="F2" s="154"/>
      <c r="G2" s="156"/>
      <c r="H2" s="150"/>
      <c r="I2" s="154"/>
      <c r="J2" s="16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4"/>
      <c r="W2" s="154"/>
      <c r="X2" s="154"/>
      <c r="Y2" s="154"/>
    </row>
    <row r="3" spans="1:25" x14ac:dyDescent="0.25">
      <c r="A3" s="32">
        <v>700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89.6</v>
      </c>
      <c r="H3" s="98">
        <f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43.5</v>
      </c>
      <c r="F4" s="34">
        <v>119</v>
      </c>
      <c r="G4" s="84">
        <v>67</v>
      </c>
      <c r="H4" s="98">
        <f>G4</f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0">K4-L4</f>
        <v>0.499</v>
      </c>
      <c r="N4" s="92">
        <v>0.28599999999999998</v>
      </c>
      <c r="O4" s="92">
        <v>0.64600000000000002</v>
      </c>
      <c r="P4" s="41">
        <f t="shared" ref="P4:P12" si="1">N4-O4</f>
        <v>-0.36000000000000004</v>
      </c>
      <c r="Q4" s="92">
        <v>0</v>
      </c>
      <c r="R4" s="92">
        <v>0.14000000000000001</v>
      </c>
      <c r="S4" s="41">
        <f t="shared" ref="S4:S9" si="2">Q4-R4</f>
        <v>-0.14000000000000001</v>
      </c>
      <c r="T4" s="34"/>
    </row>
    <row r="5" spans="1:25" x14ac:dyDescent="0.25">
      <c r="B5" s="108">
        <v>1</v>
      </c>
      <c r="C5" s="108" t="s">
        <v>75</v>
      </c>
      <c r="D5" s="38">
        <v>0</v>
      </c>
      <c r="E5" s="44">
        <v>43.5</v>
      </c>
      <c r="F5" s="34">
        <v>119</v>
      </c>
      <c r="G5" s="84">
        <v>51.3</v>
      </c>
      <c r="H5" s="98">
        <f t="shared" ref="H5:H9" si="3">G5</f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0"/>
        <v>0.43300000000000005</v>
      </c>
      <c r="N5" s="92">
        <v>0.20399999999999999</v>
      </c>
      <c r="O5" s="92">
        <v>0.60199999999999998</v>
      </c>
      <c r="P5" s="41">
        <f t="shared" si="1"/>
        <v>-0.39800000000000002</v>
      </c>
      <c r="Q5" s="92">
        <v>0</v>
      </c>
      <c r="R5" s="92">
        <v>3.5000000000000003E-2</v>
      </c>
      <c r="S5" s="41">
        <f t="shared" si="2"/>
        <v>-3.5000000000000003E-2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3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0"/>
        <v>0.5109999999999999</v>
      </c>
      <c r="N6" s="92">
        <v>0.30499999999999999</v>
      </c>
      <c r="O6" s="92">
        <v>0.61</v>
      </c>
      <c r="P6" s="41">
        <f t="shared" si="1"/>
        <v>-0.30499999999999999</v>
      </c>
      <c r="Q6" s="92">
        <v>0</v>
      </c>
      <c r="R6" s="92">
        <v>0.20599999999999999</v>
      </c>
      <c r="S6" s="41">
        <f t="shared" si="2"/>
        <v>-0.20599999999999999</v>
      </c>
    </row>
    <row r="7" spans="1:25" x14ac:dyDescent="0.25">
      <c r="B7" s="108">
        <v>1</v>
      </c>
      <c r="C7" s="108" t="s">
        <v>75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3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0"/>
        <v>0.45100000000000007</v>
      </c>
      <c r="N7" s="92">
        <v>0.46100000000000002</v>
      </c>
      <c r="O7" s="92">
        <v>0.55300000000000005</v>
      </c>
      <c r="P7" s="41">
        <f t="shared" si="1"/>
        <v>-9.2000000000000026E-2</v>
      </c>
      <c r="Q7" s="92">
        <v>2E-3</v>
      </c>
      <c r="R7" s="92">
        <v>0.36099999999999999</v>
      </c>
      <c r="S7" s="41">
        <f t="shared" si="2"/>
        <v>-0.35899999999999999</v>
      </c>
    </row>
    <row r="8" spans="1:25" x14ac:dyDescent="0.25">
      <c r="B8" s="108">
        <v>2</v>
      </c>
      <c r="C8" s="108" t="s">
        <v>75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3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0"/>
        <v>0.43000000000000005</v>
      </c>
      <c r="N8" s="92">
        <v>0.214</v>
      </c>
      <c r="O8" s="92">
        <v>0.54500000000000004</v>
      </c>
      <c r="P8" s="41">
        <f t="shared" si="1"/>
        <v>-0.33100000000000007</v>
      </c>
      <c r="Q8" s="92">
        <v>0</v>
      </c>
      <c r="R8" s="92">
        <v>9.8000000000000004E-2</v>
      </c>
      <c r="S8" s="41">
        <f t="shared" si="2"/>
        <v>-9.8000000000000004E-2</v>
      </c>
      <c r="T8" s="34"/>
    </row>
    <row r="9" spans="1:25" x14ac:dyDescent="0.25">
      <c r="B9" s="108">
        <v>2</v>
      </c>
      <c r="C9" s="108" t="s">
        <v>75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3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0"/>
        <v>0.49399999999999999</v>
      </c>
      <c r="N9" s="92">
        <v>0.375</v>
      </c>
      <c r="O9" s="92">
        <v>0.57499999999999996</v>
      </c>
      <c r="P9" s="41">
        <f t="shared" si="1"/>
        <v>-0.19999999999999996</v>
      </c>
      <c r="Q9" s="92">
        <v>0</v>
      </c>
      <c r="R9" s="92">
        <v>0.29399999999999998</v>
      </c>
      <c r="S9" s="41">
        <f t="shared" si="2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77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0"/>
        <v>0.45200000000000001</v>
      </c>
      <c r="N11" s="92">
        <v>0.46600000000000003</v>
      </c>
      <c r="O11" s="92">
        <v>0.53800000000000003</v>
      </c>
      <c r="P11" s="41">
        <f t="shared" si="1"/>
        <v>-7.2000000000000008E-2</v>
      </c>
      <c r="Q11" s="92">
        <v>0</v>
      </c>
      <c r="R11" s="92">
        <v>0.38100000000000001</v>
      </c>
      <c r="S11" s="41">
        <f t="shared" ref="S11:S12" si="4">Q11-R11</f>
        <v>-0.38100000000000001</v>
      </c>
      <c r="T11" s="87"/>
    </row>
    <row r="12" spans="1:25" x14ac:dyDescent="0.25">
      <c r="B12" s="108">
        <v>2</v>
      </c>
      <c r="C12" s="38" t="s">
        <v>77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0"/>
        <v>0.45300000000000001</v>
      </c>
      <c r="N12" s="92">
        <v>0.47099999999999997</v>
      </c>
      <c r="O12" s="92">
        <v>0.48499999999999999</v>
      </c>
      <c r="P12" s="41">
        <f t="shared" si="1"/>
        <v>-1.4000000000000012E-2</v>
      </c>
      <c r="Q12" s="92">
        <v>0</v>
      </c>
      <c r="R12" s="92">
        <v>0.44</v>
      </c>
      <c r="S12" s="41">
        <f t="shared" si="4"/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12">
    <cfRule type="cellIs" dxfId="13" priority="1" operator="greaterThan">
      <formula>$M$3</formula>
    </cfRule>
  </conditionalFormatting>
  <conditionalFormatting sqref="M23:M25">
    <cfRule type="cellIs" dxfId="1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114" t="s">
        <v>68</v>
      </c>
      <c r="C1" s="164" t="s">
        <v>69</v>
      </c>
      <c r="D1" s="30" t="s">
        <v>67</v>
      </c>
      <c r="E1" s="144" t="s">
        <v>30</v>
      </c>
      <c r="F1" s="145" t="s">
        <v>29</v>
      </c>
      <c r="G1" s="155" t="s">
        <v>32</v>
      </c>
      <c r="H1" s="163" t="s">
        <v>27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49" t="s">
        <v>72</v>
      </c>
    </row>
    <row r="2" spans="1:25" s="36" customFormat="1" ht="16.5" thickBot="1" x14ac:dyDescent="0.3">
      <c r="A2" s="150"/>
      <c r="B2" s="115"/>
      <c r="C2" s="165"/>
      <c r="E2" s="153"/>
      <c r="F2" s="154"/>
      <c r="G2" s="156"/>
      <c r="H2" s="150"/>
      <c r="I2" s="154"/>
      <c r="J2" s="16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0"/>
      <c r="V2" s="154"/>
      <c r="W2" s="154"/>
      <c r="X2" s="154"/>
      <c r="Y2" s="154"/>
    </row>
    <row r="3" spans="1:25" x14ac:dyDescent="0.25">
      <c r="A3" s="32">
        <v>800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 t="shared" ref="M3:M7" si="0">K3-L3</f>
        <v>0.79400000000000004</v>
      </c>
      <c r="N3" s="92">
        <v>8.7999999999999995E-2</v>
      </c>
      <c r="O3" s="92">
        <v>0.27500000000000002</v>
      </c>
      <c r="P3" s="41">
        <f t="shared" ref="P3:P7" si="1">N3-O3</f>
        <v>-0.18700000000000003</v>
      </c>
      <c r="Q3" s="92">
        <v>2E-3</v>
      </c>
      <c r="R3" s="92">
        <v>0.60899999999999999</v>
      </c>
      <c r="S3" s="41">
        <f t="shared" ref="S3:S7" si="2">Q3-R3</f>
        <v>-0.60699999999999998</v>
      </c>
    </row>
    <row r="4" spans="1:25" x14ac:dyDescent="0.25">
      <c r="A4" s="30"/>
      <c r="B4" s="108">
        <v>1</v>
      </c>
      <c r="C4" s="108" t="s">
        <v>75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 t="shared" si="0"/>
        <v>0.29500000000000004</v>
      </c>
      <c r="N4" s="92">
        <v>1.4999999999999999E-2</v>
      </c>
      <c r="O4" s="92">
        <v>0.19400000000000001</v>
      </c>
      <c r="P4" s="41">
        <f t="shared" si="1"/>
        <v>-0.17899999999999999</v>
      </c>
      <c r="Q4" s="92">
        <v>0</v>
      </c>
      <c r="R4" s="92">
        <v>0.11600000000000001</v>
      </c>
      <c r="S4" s="41">
        <f t="shared" si="2"/>
        <v>-0.11600000000000001</v>
      </c>
      <c r="T4" s="34"/>
    </row>
    <row r="5" spans="1:25" x14ac:dyDescent="0.25">
      <c r="B5" s="108">
        <v>1</v>
      </c>
      <c r="C5" s="108" t="s">
        <v>75</v>
      </c>
      <c r="D5" s="38">
        <v>1</v>
      </c>
      <c r="E5" s="44">
        <v>49.9</v>
      </c>
      <c r="F5" s="34">
        <v>136.1</v>
      </c>
      <c r="G5" s="84">
        <v>75.7</v>
      </c>
      <c r="H5" s="98">
        <f t="shared" ref="H5:H7" si="3"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 t="shared" si="0"/>
        <v>0.72</v>
      </c>
      <c r="N5" s="92">
        <v>0.05</v>
      </c>
      <c r="O5" s="92">
        <v>0.33700000000000002</v>
      </c>
      <c r="P5" s="41">
        <f t="shared" si="1"/>
        <v>-0.28700000000000003</v>
      </c>
      <c r="Q5" s="92">
        <v>0</v>
      </c>
      <c r="R5" s="92">
        <v>0.434</v>
      </c>
      <c r="S5" s="41">
        <f t="shared" si="2"/>
        <v>-0.434</v>
      </c>
      <c r="T5" s="34"/>
    </row>
    <row r="6" spans="1:25" s="30" customFormat="1" x14ac:dyDescent="0.25">
      <c r="B6" s="108">
        <v>2</v>
      </c>
      <c r="C6" s="108" t="s">
        <v>75</v>
      </c>
      <c r="D6" s="32">
        <v>1</v>
      </c>
      <c r="E6" s="44">
        <v>49.9</v>
      </c>
      <c r="F6" s="34">
        <v>136.1</v>
      </c>
      <c r="G6" s="84">
        <v>54.7</v>
      </c>
      <c r="H6" s="98">
        <f t="shared" si="3"/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 t="shared" si="0"/>
        <v>0.50299999999999989</v>
      </c>
      <c r="N6" s="92">
        <v>0.03</v>
      </c>
      <c r="O6" s="92">
        <v>0.33200000000000002</v>
      </c>
      <c r="P6" s="41">
        <f t="shared" si="1"/>
        <v>-0.30200000000000005</v>
      </c>
      <c r="Q6" s="92">
        <v>1E-3</v>
      </c>
      <c r="R6" s="92">
        <v>0.20200000000000001</v>
      </c>
      <c r="S6" s="41">
        <f t="shared" si="2"/>
        <v>-0.20100000000000001</v>
      </c>
    </row>
    <row r="7" spans="1:25" x14ac:dyDescent="0.25">
      <c r="B7" s="108">
        <v>2</v>
      </c>
      <c r="C7" s="108" t="s">
        <v>75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 t="shared" si="3"/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 t="shared" si="0"/>
        <v>0.81200000000000006</v>
      </c>
      <c r="N7" s="92">
        <v>7.5999999999999998E-2</v>
      </c>
      <c r="O7" s="92">
        <v>0.25900000000000001</v>
      </c>
      <c r="P7" s="41">
        <f t="shared" si="1"/>
        <v>-0.183</v>
      </c>
      <c r="Q7" s="92">
        <v>1E-3</v>
      </c>
      <c r="R7" s="92">
        <v>0.63</v>
      </c>
      <c r="S7" s="41">
        <f t="shared" si="2"/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84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 t="shared" ref="M10" si="4">K10-L10</f>
        <v>0.29400000000000004</v>
      </c>
      <c r="N10" s="92">
        <v>1.54E-2</v>
      </c>
      <c r="O10" s="92">
        <v>0.2</v>
      </c>
      <c r="P10" s="41">
        <f t="shared" ref="P10" si="5">N10-O10</f>
        <v>-0.18460000000000001</v>
      </c>
      <c r="Q10" s="92">
        <v>0</v>
      </c>
      <c r="R10" s="92">
        <v>0.115</v>
      </c>
      <c r="S10" s="41">
        <f t="shared" ref="S10" si="6"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84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7 M10:M11">
    <cfRule type="cellIs" dxfId="11" priority="1" operator="greaterThan">
      <formula>$M$3</formula>
    </cfRule>
  </conditionalFormatting>
  <conditionalFormatting sqref="M23:M25">
    <cfRule type="cellIs" dxfId="10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30"/>
  <sheetViews>
    <sheetView zoomScale="130" zoomScaleNormal="130" workbookViewId="0">
      <selection activeCell="T7" sqref="T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9" t="s">
        <v>0</v>
      </c>
      <c r="B1" s="31" t="s">
        <v>68</v>
      </c>
      <c r="C1" s="151" t="s">
        <v>69</v>
      </c>
      <c r="D1" s="30" t="s">
        <v>67</v>
      </c>
      <c r="E1" s="144" t="s">
        <v>30</v>
      </c>
      <c r="F1" s="145" t="s">
        <v>29</v>
      </c>
      <c r="G1" s="155" t="s">
        <v>32</v>
      </c>
      <c r="H1" s="161" t="s">
        <v>66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57" t="s">
        <v>19</v>
      </c>
    </row>
    <row r="2" spans="1:25" s="36" customFormat="1" ht="16.5" thickBot="1" x14ac:dyDescent="0.3">
      <c r="A2" s="150"/>
      <c r="B2" s="86"/>
      <c r="C2" s="152"/>
      <c r="E2" s="153"/>
      <c r="F2" s="154"/>
      <c r="G2" s="156"/>
      <c r="H2" s="162"/>
      <c r="I2" s="154"/>
      <c r="J2" s="16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8"/>
      <c r="V2" s="154"/>
      <c r="W2" s="154"/>
      <c r="X2" s="154"/>
      <c r="Y2" s="154"/>
    </row>
    <row r="3" spans="1:25" s="30" customFormat="1" x14ac:dyDescent="0.25">
      <c r="A3" s="30">
        <v>1064</v>
      </c>
      <c r="B3" s="30">
        <v>0</v>
      </c>
      <c r="C3" s="45" t="s">
        <v>74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0.28699999999999998</v>
      </c>
      <c r="M3" s="90">
        <f t="shared" ref="M3:M6" si="0">K3-L3</f>
        <v>0.71300000000000008</v>
      </c>
      <c r="N3" s="96">
        <v>3.3299999999999999E-16</v>
      </c>
      <c r="O3" s="96">
        <v>1.2999999999999999E-2</v>
      </c>
      <c r="P3" s="90">
        <f>N3-O3</f>
        <v>-1.2999999999999666E-2</v>
      </c>
      <c r="Q3" s="96">
        <v>0</v>
      </c>
      <c r="R3" s="96">
        <v>0.7</v>
      </c>
      <c r="S3" s="90">
        <f t="shared" ref="S3:S6" si="1">Q3-R3</f>
        <v>-0.7</v>
      </c>
      <c r="T3" s="35" t="s">
        <v>97</v>
      </c>
    </row>
    <row r="4" spans="1:25" x14ac:dyDescent="0.25">
      <c r="B4" s="32">
        <v>1</v>
      </c>
      <c r="C4" s="81" t="s">
        <v>74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97">
        <f t="shared" si="0"/>
        <v>0.45599999999999996</v>
      </c>
      <c r="N4" s="92">
        <v>-4.4400000000000002E-16</v>
      </c>
      <c r="O4" s="92">
        <v>1.4999999999999999E-2</v>
      </c>
      <c r="P4" s="97">
        <f t="shared" ref="P4:P6" si="2">N4-O4</f>
        <v>-1.5000000000000444E-2</v>
      </c>
      <c r="Q4" s="92">
        <v>0</v>
      </c>
      <c r="R4" s="92">
        <v>0.44</v>
      </c>
      <c r="S4" s="97">
        <f t="shared" si="1"/>
        <v>-0.44</v>
      </c>
      <c r="T4" s="35" t="s">
        <v>108</v>
      </c>
    </row>
    <row r="5" spans="1:25" x14ac:dyDescent="0.25">
      <c r="B5" s="32">
        <v>2</v>
      </c>
      <c r="C5" s="81" t="s">
        <v>74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97">
        <f t="shared" si="0"/>
        <v>0.73399999999999999</v>
      </c>
      <c r="N5" s="92">
        <v>1.1100000000000001E-15</v>
      </c>
      <c r="O5" s="92">
        <v>1.2E-2</v>
      </c>
      <c r="P5" s="97">
        <f t="shared" si="2"/>
        <v>-1.199999999999889E-2</v>
      </c>
      <c r="Q5" s="92">
        <v>0</v>
      </c>
      <c r="R5" s="92">
        <v>0.72199999999999998</v>
      </c>
      <c r="S5" s="97">
        <f t="shared" si="1"/>
        <v>-0.72199999999999998</v>
      </c>
      <c r="T5" s="71"/>
    </row>
    <row r="6" spans="1:25" x14ac:dyDescent="0.25">
      <c r="B6" s="32">
        <v>3</v>
      </c>
      <c r="C6" s="81" t="s">
        <v>74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97">
        <f t="shared" si="0"/>
        <v>0.90400000000000003</v>
      </c>
      <c r="N6" s="92">
        <v>0</v>
      </c>
      <c r="O6" s="92">
        <v>8.0000000000000002E-3</v>
      </c>
      <c r="P6" s="97">
        <f t="shared" si="2"/>
        <v>-8.0000000000000002E-3</v>
      </c>
      <c r="Q6" s="92">
        <v>0</v>
      </c>
      <c r="R6" s="92">
        <v>0.89600000000000002</v>
      </c>
      <c r="S6" s="97">
        <f t="shared" si="1"/>
        <v>-0.89600000000000002</v>
      </c>
      <c r="T6" s="71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3">L8-K8</f>
        <v>4.4599999999999973E-2</v>
      </c>
      <c r="N8" s="92">
        <v>1.2199999999999999E-15</v>
      </c>
      <c r="O8" s="92">
        <v>0.01</v>
      </c>
      <c r="P8" s="41">
        <f t="shared" ref="P8:P11" si="4">O8-N8</f>
        <v>9.9999999999987807E-3</v>
      </c>
      <c r="Q8" s="92">
        <v>5.6000000000000001E-2</v>
      </c>
      <c r="R8" s="92">
        <v>0</v>
      </c>
      <c r="S8" s="41">
        <f t="shared" ref="S8:S11" si="5"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3"/>
        <v>0.18099999999999994</v>
      </c>
      <c r="N10" s="92">
        <v>5.5500000000000005E-16</v>
      </c>
      <c r="O10" s="92">
        <v>0.01</v>
      </c>
      <c r="P10" s="97">
        <f t="shared" si="4"/>
        <v>9.9999999999994451E-3</v>
      </c>
      <c r="Q10" s="92">
        <v>0.19800000000000001</v>
      </c>
      <c r="R10" s="92">
        <v>7.0000000000000001E-3</v>
      </c>
      <c r="S10" s="97">
        <f t="shared" si="5"/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3"/>
        <v>0.35299999999999998</v>
      </c>
      <c r="N11" s="92">
        <v>8.8800000000000003E-16</v>
      </c>
      <c r="O11" s="92">
        <v>0.02</v>
      </c>
      <c r="P11" s="97">
        <f t="shared" si="4"/>
        <v>1.9999999999999112E-2</v>
      </c>
      <c r="Q11" s="92">
        <v>0.374</v>
      </c>
      <c r="R11" s="92">
        <v>0</v>
      </c>
      <c r="S11" s="97">
        <f t="shared" si="5"/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3"/>
        <v>2.8000000000000025E-2</v>
      </c>
      <c r="N13" s="92">
        <v>-6.6599999999999998E-16</v>
      </c>
      <c r="O13" s="92">
        <v>0</v>
      </c>
      <c r="P13" s="97">
        <f t="shared" ref="P13:P17" si="6">O13-N13</f>
        <v>6.6599999999999998E-16</v>
      </c>
      <c r="Q13" s="92">
        <v>3.2000000000000001E-2</v>
      </c>
      <c r="R13" s="92">
        <v>0</v>
      </c>
      <c r="S13" s="97">
        <f t="shared" ref="S13:S17" si="7"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 t="shared" ref="H14:H17" si="8"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3"/>
        <v>9.6999999999999975E-2</v>
      </c>
      <c r="N14" s="92">
        <v>-4.4400000000000002E-16</v>
      </c>
      <c r="O14" s="92">
        <v>0.01</v>
      </c>
      <c r="P14" s="97">
        <f t="shared" si="6"/>
        <v>1.0000000000000444E-2</v>
      </c>
      <c r="Q14" s="92">
        <v>0.106</v>
      </c>
      <c r="R14" s="92">
        <v>1E-3</v>
      </c>
      <c r="S14" s="97">
        <f t="shared" si="7"/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 t="shared" si="8"/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3"/>
        <v>6.3999999999999946E-2</v>
      </c>
      <c r="N15" s="92">
        <v>-2.2200000000000001E-16</v>
      </c>
      <c r="O15" s="92">
        <v>0.01</v>
      </c>
      <c r="P15" s="41">
        <f t="shared" si="6"/>
        <v>1.0000000000000222E-2</v>
      </c>
      <c r="Q15" s="92">
        <v>7.0000000000000007E-2</v>
      </c>
      <c r="R15" s="92">
        <v>0</v>
      </c>
      <c r="S15" s="41">
        <f t="shared" si="7"/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 t="shared" si="8"/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3"/>
        <v>0.17799999999999994</v>
      </c>
      <c r="N16" s="92">
        <v>1.3299999999999999E-15</v>
      </c>
      <c r="O16" s="92">
        <v>0.01</v>
      </c>
      <c r="P16" s="41">
        <f t="shared" si="6"/>
        <v>9.9999999999986697E-3</v>
      </c>
      <c r="Q16" s="92">
        <v>0.19500000000000001</v>
      </c>
      <c r="R16" s="92">
        <v>6.0000000000000001E-3</v>
      </c>
      <c r="S16" s="41">
        <f t="shared" si="7"/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 t="shared" si="8"/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3"/>
        <v>0.373</v>
      </c>
      <c r="N17" s="92">
        <v>1.5499999999999999E-15</v>
      </c>
      <c r="O17" s="92">
        <v>0.02</v>
      </c>
      <c r="P17" s="41">
        <f t="shared" si="6"/>
        <v>1.999999999999845E-2</v>
      </c>
      <c r="Q17" s="92">
        <v>0.39500000000000002</v>
      </c>
      <c r="R17" s="92">
        <v>0</v>
      </c>
      <c r="S17" s="41">
        <f t="shared" si="7"/>
        <v>-0.39500000000000002</v>
      </c>
    </row>
    <row r="18" spans="1:20" x14ac:dyDescent="0.25">
      <c r="H18" s="98"/>
      <c r="K18" s="92"/>
    </row>
    <row r="19" spans="1:20" s="101" customFormat="1" x14ac:dyDescent="0.25">
      <c r="A19" s="32"/>
      <c r="B19" s="32">
        <v>0</v>
      </c>
      <c r="C19" s="119" t="s">
        <v>74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07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125" t="s">
        <v>107</v>
      </c>
    </row>
    <row r="20" spans="1:20" x14ac:dyDescent="0.25">
      <c r="B20" s="32">
        <v>1</v>
      </c>
      <c r="C20" s="119" t="s">
        <v>74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97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71" t="s">
        <v>73</v>
      </c>
    </row>
    <row r="21" spans="1:20" x14ac:dyDescent="0.25">
      <c r="B21" s="32">
        <v>2</v>
      </c>
      <c r="C21" s="119" t="s">
        <v>74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97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71" t="s">
        <v>73</v>
      </c>
    </row>
    <row r="22" spans="1:20" x14ac:dyDescent="0.25">
      <c r="B22" s="32">
        <v>3</v>
      </c>
      <c r="C22" s="119" t="s">
        <v>74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97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3" spans="1:20" x14ac:dyDescent="0.25">
      <c r="C23" s="124"/>
      <c r="M23" s="97"/>
      <c r="P23" s="97"/>
      <c r="S23" s="97"/>
    </row>
    <row r="24" spans="1:20" x14ac:dyDescent="0.25">
      <c r="A24" s="32" t="s">
        <v>61</v>
      </c>
      <c r="B24" s="32">
        <v>0</v>
      </c>
      <c r="C24" s="32" t="s">
        <v>74</v>
      </c>
      <c r="D24" s="38">
        <v>0</v>
      </c>
      <c r="E24" s="44">
        <v>0</v>
      </c>
      <c r="F24" s="34">
        <v>0</v>
      </c>
      <c r="G24" s="84">
        <v>157.88</v>
      </c>
      <c r="H24" s="98">
        <f>G24</f>
        <v>157.88</v>
      </c>
      <c r="I24" s="31">
        <v>0</v>
      </c>
      <c r="J24" s="43">
        <f>G24</f>
        <v>157.88</v>
      </c>
      <c r="K24" s="91">
        <v>0.96399999999999997</v>
      </c>
      <c r="L24" s="92">
        <v>0.38</v>
      </c>
      <c r="M24" s="97">
        <f t="shared" ref="M24" si="9">K24-L24</f>
        <v>0.58399999999999996</v>
      </c>
      <c r="N24" s="92">
        <v>0</v>
      </c>
      <c r="O24" s="92">
        <v>1.2E-2</v>
      </c>
      <c r="P24" s="97">
        <f t="shared" ref="P24" si="10">N24-O24</f>
        <v>-1.2E-2</v>
      </c>
      <c r="Q24" s="92">
        <v>3.5999999999999997E-2</v>
      </c>
      <c r="R24" s="92">
        <v>0.60799999999999998</v>
      </c>
      <c r="S24" s="97">
        <f t="shared" ref="S24" si="11">Q24-R24</f>
        <v>-0.57199999999999995</v>
      </c>
    </row>
    <row r="25" spans="1:20" ht="22.5" x14ac:dyDescent="0.25">
      <c r="A25" s="32" t="s">
        <v>93</v>
      </c>
      <c r="C25" s="46" t="s">
        <v>94</v>
      </c>
      <c r="E25" s="122" t="s">
        <v>96</v>
      </c>
      <c r="F25" s="34">
        <v>193.08</v>
      </c>
      <c r="G25" s="84">
        <v>157.88</v>
      </c>
      <c r="H25" s="98">
        <f>G25</f>
        <v>157.88</v>
      </c>
      <c r="I25" s="31">
        <v>0</v>
      </c>
      <c r="J25" s="43">
        <v>503</v>
      </c>
      <c r="K25" s="91">
        <v>0.91300000000000003</v>
      </c>
      <c r="L25" s="92">
        <v>0.69099999999999995</v>
      </c>
      <c r="M25" s="97">
        <f t="shared" ref="M25" si="12">K25-L25</f>
        <v>0.22200000000000009</v>
      </c>
      <c r="N25" s="92">
        <v>3.5999999999999997E-2</v>
      </c>
      <c r="O25" s="92">
        <v>4.2000000000000003E-2</v>
      </c>
      <c r="P25" s="97">
        <f t="shared" ref="P25" si="13">N25-O25</f>
        <v>-6.0000000000000053E-3</v>
      </c>
      <c r="Q25" s="92">
        <v>5.0999999999999997E-2</v>
      </c>
      <c r="R25" s="92">
        <v>0.26700000000000002</v>
      </c>
      <c r="S25" s="97">
        <f t="shared" ref="S25" si="14">Q25-R25</f>
        <v>-0.21600000000000003</v>
      </c>
    </row>
    <row r="26" spans="1:20" x14ac:dyDescent="0.25">
      <c r="A26" s="30" t="s">
        <v>88</v>
      </c>
      <c r="C26" s="32" t="s">
        <v>95</v>
      </c>
      <c r="E26" s="122"/>
    </row>
    <row r="27" spans="1:20" x14ac:dyDescent="0.25">
      <c r="A27" s="32" t="s">
        <v>89</v>
      </c>
      <c r="C27" s="32" t="s">
        <v>95</v>
      </c>
      <c r="E27" s="122"/>
    </row>
    <row r="28" spans="1:20" x14ac:dyDescent="0.25">
      <c r="A28" s="30"/>
      <c r="B28" s="30" t="s">
        <v>82</v>
      </c>
      <c r="C28" s="37" t="s">
        <v>83</v>
      </c>
    </row>
    <row r="29" spans="1:20" x14ac:dyDescent="0.25">
      <c r="A29" s="30" t="s">
        <v>80</v>
      </c>
      <c r="B29" s="92">
        <v>3.3696999999999999</v>
      </c>
      <c r="C29" s="118">
        <v>0</v>
      </c>
    </row>
    <row r="30" spans="1:20" x14ac:dyDescent="0.25">
      <c r="A30" s="30" t="s">
        <v>81</v>
      </c>
      <c r="B30" s="108">
        <v>4.3080999999999996</v>
      </c>
      <c r="C30" s="38">
        <v>9.7439999999999992E-3</v>
      </c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17 M19">
    <cfRule type="cellIs" dxfId="9" priority="5" operator="greaterThan">
      <formula>$M$3</formula>
    </cfRule>
  </conditionalFormatting>
  <conditionalFormatting sqref="M16:M18">
    <cfRule type="cellIs" dxfId="8" priority="6" operator="greaterThan">
      <formula>0.45</formula>
    </cfRule>
    <cfRule type="cellIs" priority="7" operator="greaterThan">
      <formula>0.45</formula>
    </cfRule>
  </conditionalFormatting>
  <conditionalFormatting sqref="M20:M23">
    <cfRule type="cellIs" dxfId="7" priority="4" operator="greaterThan">
      <formula>$M$19</formula>
    </cfRule>
  </conditionalFormatting>
  <conditionalFormatting sqref="M24:M25">
    <cfRule type="cellIs" dxfId="6" priority="1" operator="greaterThan">
      <formula>$M$3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0" t="s">
        <v>1</v>
      </c>
      <c r="B1" s="149" t="s">
        <v>0</v>
      </c>
      <c r="C1" s="171" t="s">
        <v>42</v>
      </c>
      <c r="D1" s="151" t="s">
        <v>11</v>
      </c>
      <c r="E1" s="144" t="s">
        <v>30</v>
      </c>
      <c r="F1" s="145" t="s">
        <v>29</v>
      </c>
      <c r="G1" s="163" t="s">
        <v>32</v>
      </c>
      <c r="H1" s="163" t="s">
        <v>27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70" t="s">
        <v>19</v>
      </c>
    </row>
    <row r="2" spans="1:25" s="36" customFormat="1" ht="16.5" thickBot="1" x14ac:dyDescent="0.3">
      <c r="A2" s="154"/>
      <c r="B2" s="150"/>
      <c r="C2" s="165"/>
      <c r="D2" s="152"/>
      <c r="E2" s="153"/>
      <c r="F2" s="154"/>
      <c r="G2" s="150"/>
      <c r="H2" s="150"/>
      <c r="I2" s="154"/>
      <c r="J2" s="16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54"/>
      <c r="V2" s="154"/>
      <c r="W2" s="154"/>
      <c r="X2" s="154"/>
      <c r="Y2" s="154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66">
        <v>32.700000000000003</v>
      </c>
      <c r="F4" s="167">
        <v>90.1</v>
      </c>
      <c r="G4" s="169">
        <v>38.5</v>
      </c>
      <c r="H4" s="169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66"/>
      <c r="F5" s="167"/>
      <c r="G5" s="168">
        <v>41.2</v>
      </c>
      <c r="H5" s="168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66"/>
      <c r="F6" s="167"/>
      <c r="G6" s="168">
        <v>24.3</v>
      </c>
      <c r="H6" s="168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66"/>
      <c r="F7" s="167"/>
      <c r="G7" s="168">
        <v>42.6</v>
      </c>
      <c r="H7" s="168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66"/>
      <c r="F8" s="167"/>
      <c r="G8" s="168">
        <v>31.9</v>
      </c>
      <c r="H8" s="168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66"/>
      <c r="F9" s="167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66"/>
      <c r="F10" s="167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66"/>
      <c r="F11" s="167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66">
        <v>66.599999999999994</v>
      </c>
      <c r="F14" s="167">
        <v>181.3</v>
      </c>
      <c r="G14" s="168">
        <v>107.3</v>
      </c>
      <c r="H14" s="168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66"/>
      <c r="F15" s="167"/>
      <c r="G15" s="169">
        <v>68.7</v>
      </c>
      <c r="H15" s="169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66"/>
      <c r="F16" s="167"/>
      <c r="G16" s="169">
        <v>105</v>
      </c>
      <c r="H16" s="169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66"/>
      <c r="F17" s="167"/>
      <c r="G17" s="168">
        <v>65.599999999999994</v>
      </c>
      <c r="H17" s="168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66"/>
      <c r="F18" s="167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66"/>
      <c r="F19" s="167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66"/>
      <c r="F20" s="167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G8:H8"/>
    <mergeCell ref="G7:H7"/>
    <mergeCell ref="G6:H6"/>
    <mergeCell ref="E4:E11"/>
    <mergeCell ref="F4:F11"/>
    <mergeCell ref="G4:H4"/>
    <mergeCell ref="G5:H5"/>
    <mergeCell ref="T1:T2"/>
    <mergeCell ref="V2:W2"/>
    <mergeCell ref="X2:Y2"/>
    <mergeCell ref="Q1:S1"/>
    <mergeCell ref="N1:P1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E14:E20"/>
    <mergeCell ref="F14:F20"/>
    <mergeCell ref="G17:H17"/>
    <mergeCell ref="G16:H16"/>
    <mergeCell ref="G15:H15"/>
    <mergeCell ref="G14:H14"/>
  </mergeCells>
  <conditionalFormatting sqref="M14:M20">
    <cfRule type="cellIs" dxfId="5" priority="1" operator="greaterThan">
      <formula>$M$13</formula>
    </cfRule>
  </conditionalFormatting>
  <conditionalFormatting sqref="M29:M33">
    <cfRule type="cellIs" dxfId="4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topLeftCell="B1" zoomScale="130" zoomScaleNormal="130" workbookViewId="0">
      <selection activeCell="D27" sqref="D27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0" t="s">
        <v>1</v>
      </c>
      <c r="B1" s="149" t="s">
        <v>0</v>
      </c>
      <c r="C1" s="171" t="s">
        <v>42</v>
      </c>
      <c r="D1" s="151" t="s">
        <v>11</v>
      </c>
      <c r="E1" s="144" t="s">
        <v>30</v>
      </c>
      <c r="F1" s="145" t="s">
        <v>29</v>
      </c>
      <c r="G1" s="163" t="s">
        <v>32</v>
      </c>
      <c r="H1" s="163" t="s">
        <v>27</v>
      </c>
      <c r="I1" s="145" t="s">
        <v>16</v>
      </c>
      <c r="J1" s="159" t="s">
        <v>28</v>
      </c>
      <c r="K1" s="144" t="s">
        <v>2</v>
      </c>
      <c r="L1" s="145"/>
      <c r="M1" s="146"/>
      <c r="N1" s="144" t="s">
        <v>4</v>
      </c>
      <c r="O1" s="145"/>
      <c r="P1" s="146"/>
      <c r="Q1" s="144" t="s">
        <v>3</v>
      </c>
      <c r="R1" s="145"/>
      <c r="S1" s="146"/>
      <c r="T1" s="172" t="s">
        <v>19</v>
      </c>
    </row>
    <row r="2" spans="1:25" s="36" customFormat="1" ht="16.5" thickBot="1" x14ac:dyDescent="0.3">
      <c r="A2" s="154"/>
      <c r="B2" s="150"/>
      <c r="C2" s="165"/>
      <c r="D2" s="152"/>
      <c r="E2" s="153"/>
      <c r="F2" s="154"/>
      <c r="G2" s="150"/>
      <c r="H2" s="150"/>
      <c r="I2" s="154"/>
      <c r="J2" s="16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73"/>
      <c r="V2" s="154"/>
      <c r="W2" s="154"/>
      <c r="X2" s="154"/>
      <c r="Y2" s="154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74">
        <v>0</v>
      </c>
      <c r="F3" s="176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75"/>
      <c r="F4" s="168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66">
        <v>32.700000000000003</v>
      </c>
      <c r="F5" s="167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66"/>
      <c r="F6" s="167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 t="shared" ref="P6" si="1">O6-N6</f>
        <v>0.21000000000000008</v>
      </c>
      <c r="Q6" s="56">
        <v>0.03</v>
      </c>
      <c r="R6" s="56">
        <v>0</v>
      </c>
      <c r="S6" s="41">
        <f t="shared" ref="S6" si="2"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>O8-N8</f>
        <v>0.03</v>
      </c>
      <c r="Q8" s="48">
        <v>0.48</v>
      </c>
      <c r="R8" s="48">
        <v>0</v>
      </c>
      <c r="S8" s="49">
        <f>R8-Q8</f>
        <v>-0.48</v>
      </c>
      <c r="T8" s="35" t="s">
        <v>61</v>
      </c>
    </row>
    <row r="9" spans="1:25" ht="16.5" x14ac:dyDescent="0.25">
      <c r="D9" s="37" t="s">
        <v>41</v>
      </c>
      <c r="E9" s="166">
        <v>66.599999999999994</v>
      </c>
      <c r="F9" s="167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>O9-N9</f>
        <v>0.02</v>
      </c>
      <c r="Q9" s="33">
        <v>0.25</v>
      </c>
      <c r="R9" s="33">
        <v>0</v>
      </c>
      <c r="S9" s="41">
        <f>R9-Q9</f>
        <v>-0.25</v>
      </c>
    </row>
    <row r="10" spans="1:25" s="30" customFormat="1" ht="18.75" x14ac:dyDescent="0.25">
      <c r="C10" s="32"/>
      <c r="D10" s="38" t="s">
        <v>44</v>
      </c>
      <c r="E10" s="166"/>
      <c r="F10" s="167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ref="P10:P14" si="3">O10-N10</f>
        <v>0.01</v>
      </c>
      <c r="Q10" s="33">
        <v>0.15</v>
      </c>
      <c r="R10" s="33">
        <v>0</v>
      </c>
      <c r="S10" s="41">
        <f t="shared" ref="S10:S14" si="4">R10-Q10</f>
        <v>-0.15</v>
      </c>
      <c r="T10" s="72"/>
    </row>
    <row r="11" spans="1:25" ht="18.75" x14ac:dyDescent="0.25">
      <c r="D11" s="38" t="s">
        <v>43</v>
      </c>
      <c r="E11" s="166"/>
      <c r="F11" s="167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3"/>
        <v>0.03</v>
      </c>
      <c r="Q11" s="33">
        <v>0.53</v>
      </c>
      <c r="R11" s="33">
        <v>0</v>
      </c>
      <c r="S11" s="41">
        <f t="shared" si="4"/>
        <v>-0.53</v>
      </c>
    </row>
    <row r="12" spans="1:25" ht="18.75" x14ac:dyDescent="0.25">
      <c r="D12" s="38" t="s">
        <v>48</v>
      </c>
      <c r="E12" s="166"/>
      <c r="F12" s="167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3"/>
        <v>0.01</v>
      </c>
      <c r="Q12" s="33">
        <v>0.19</v>
      </c>
      <c r="R12" s="33">
        <v>0.01</v>
      </c>
      <c r="S12" s="41">
        <f t="shared" si="4"/>
        <v>-0.18</v>
      </c>
      <c r="T12" s="71"/>
    </row>
    <row r="13" spans="1:25" ht="18.75" x14ac:dyDescent="0.25">
      <c r="D13" s="38" t="s">
        <v>45</v>
      </c>
      <c r="E13" s="166"/>
      <c r="F13" s="167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3"/>
        <v>0.02</v>
      </c>
      <c r="Q13" s="33">
        <v>0.36</v>
      </c>
      <c r="R13" s="33">
        <v>0</v>
      </c>
      <c r="S13" s="41">
        <f t="shared" si="4"/>
        <v>-0.36</v>
      </c>
    </row>
    <row r="14" spans="1:25" ht="18.75" x14ac:dyDescent="0.25">
      <c r="D14" s="38" t="s">
        <v>53</v>
      </c>
      <c r="E14" s="166"/>
      <c r="F14" s="167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3"/>
        <v>0.05</v>
      </c>
      <c r="Q14" s="33">
        <v>0.79</v>
      </c>
      <c r="R14" s="33">
        <v>0</v>
      </c>
      <c r="S14" s="41">
        <f t="shared" si="4"/>
        <v>-0.79</v>
      </c>
    </row>
    <row r="15" spans="1:25" ht="16.5" x14ac:dyDescent="0.25">
      <c r="D15" s="37" t="s">
        <v>52</v>
      </c>
      <c r="E15" s="166"/>
      <c r="F15" s="167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>O15-N15</f>
        <v>0.02</v>
      </c>
      <c r="Q15" s="33">
        <v>0.22</v>
      </c>
      <c r="R15" s="33">
        <v>0</v>
      </c>
      <c r="S15" s="41">
        <f>R15-Q15</f>
        <v>-0.22</v>
      </c>
      <c r="T15" s="71"/>
    </row>
    <row r="16" spans="1:25" ht="18.75" x14ac:dyDescent="0.25">
      <c r="D16" s="38" t="s">
        <v>46</v>
      </c>
      <c r="E16" s="166"/>
      <c r="F16" s="167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>O16-N16</f>
        <v>0.06</v>
      </c>
      <c r="Q16" s="33">
        <v>0.81</v>
      </c>
      <c r="R16" s="33">
        <v>0.05</v>
      </c>
      <c r="S16" s="41">
        <f>R16-Q16</f>
        <v>-0.76</v>
      </c>
      <c r="T16" s="71"/>
    </row>
    <row r="17" spans="4:20" ht="18.75" x14ac:dyDescent="0.25">
      <c r="D17" s="38" t="s">
        <v>47</v>
      </c>
      <c r="E17" s="166"/>
      <c r="F17" s="167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>O17-N17</f>
        <v>0.49</v>
      </c>
      <c r="Q17" s="33">
        <v>0.92</v>
      </c>
      <c r="R17" s="33">
        <v>0.01</v>
      </c>
      <c r="S17" s="41">
        <f>R17-Q17</f>
        <v>-0.91</v>
      </c>
      <c r="T17" s="35" t="s">
        <v>63</v>
      </c>
    </row>
    <row r="18" spans="4:20" x14ac:dyDescent="0.25">
      <c r="D18" s="38" t="s">
        <v>54</v>
      </c>
      <c r="E18" s="166"/>
      <c r="F18" s="167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>O18-N18</f>
        <v>0.03</v>
      </c>
      <c r="Q18" s="33">
        <v>0.55000000000000004</v>
      </c>
      <c r="R18" s="33">
        <v>0</v>
      </c>
      <c r="S18" s="41">
        <f>R18-Q18</f>
        <v>-0.55000000000000004</v>
      </c>
      <c r="T18" s="71"/>
    </row>
    <row r="19" spans="4:20" x14ac:dyDescent="0.25">
      <c r="D19" s="38" t="s">
        <v>55</v>
      </c>
      <c r="E19" s="166"/>
      <c r="F19" s="167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>O19-N19</f>
        <v>0.05</v>
      </c>
      <c r="Q19" s="33">
        <v>0.8</v>
      </c>
      <c r="R19" s="33">
        <v>0</v>
      </c>
      <c r="S19" s="41">
        <f>R19-Q19</f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  <mergeCell ref="V2:W2"/>
    <mergeCell ref="X2:Y2"/>
    <mergeCell ref="T1:T2"/>
    <mergeCell ref="D1:D2"/>
    <mergeCell ref="H1:H2"/>
    <mergeCell ref="Q1:S1"/>
    <mergeCell ref="K1:M1"/>
    <mergeCell ref="N1:P1"/>
  </mergeCells>
  <phoneticPr fontId="1" type="noConversion"/>
  <conditionalFormatting sqref="M9:M19">
    <cfRule type="cellIs" dxfId="3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2" priority="1" operator="greaterThan">
      <formula>$M$8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88" t="s">
        <v>6</v>
      </c>
      <c r="B1" s="188" t="s">
        <v>1</v>
      </c>
      <c r="C1" s="183" t="s">
        <v>0</v>
      </c>
      <c r="D1" s="183" t="s">
        <v>11</v>
      </c>
      <c r="E1" s="183" t="s">
        <v>20</v>
      </c>
      <c r="F1" s="184" t="s">
        <v>2</v>
      </c>
      <c r="G1" s="184"/>
      <c r="H1" s="177" t="s">
        <v>4</v>
      </c>
      <c r="I1" s="177"/>
      <c r="J1" s="178" t="s">
        <v>3</v>
      </c>
      <c r="K1" s="178"/>
    </row>
    <row r="2" spans="1:11" ht="15" x14ac:dyDescent="0.2">
      <c r="A2" s="188"/>
      <c r="B2" s="188"/>
      <c r="C2" s="183"/>
      <c r="D2" s="183"/>
      <c r="E2" s="183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79" t="s">
        <v>10</v>
      </c>
      <c r="B3" s="13" t="s">
        <v>9</v>
      </c>
      <c r="C3" s="179">
        <v>1550</v>
      </c>
      <c r="D3" s="179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80"/>
      <c r="B4" s="19" t="s">
        <v>12</v>
      </c>
      <c r="C4" s="180"/>
      <c r="D4" s="182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80"/>
      <c r="B5" s="19" t="s">
        <v>13</v>
      </c>
      <c r="C5" s="180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81"/>
      <c r="B6" s="23" t="s">
        <v>18</v>
      </c>
      <c r="C6" s="181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85" t="s">
        <v>23</v>
      </c>
      <c r="B7" s="3" t="s">
        <v>22</v>
      </c>
      <c r="C7" s="185">
        <v>1320</v>
      </c>
      <c r="D7" s="185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86"/>
      <c r="B8" s="2" t="s">
        <v>12</v>
      </c>
      <c r="C8" s="186"/>
      <c r="D8" s="187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86"/>
      <c r="B9" s="2" t="s">
        <v>13</v>
      </c>
      <c r="C9" s="186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86"/>
      <c r="B10" s="2" t="s">
        <v>17</v>
      </c>
      <c r="C10" s="186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87"/>
      <c r="B11" s="2" t="s">
        <v>18</v>
      </c>
      <c r="C11" s="187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A7:A11"/>
    <mergeCell ref="C7:C11"/>
    <mergeCell ref="D7:D8"/>
    <mergeCell ref="A1:A2"/>
    <mergeCell ref="B1:B2"/>
    <mergeCell ref="C1:C2"/>
    <mergeCell ref="D1:D2"/>
    <mergeCell ref="H1:I1"/>
    <mergeCell ref="J1:K1"/>
    <mergeCell ref="C3:C6"/>
    <mergeCell ref="D3:D4"/>
    <mergeCell ref="A3:A6"/>
    <mergeCell ref="E1:E2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88" t="s">
        <v>6</v>
      </c>
      <c r="B1" s="188" t="s">
        <v>1</v>
      </c>
      <c r="C1" s="183" t="s">
        <v>0</v>
      </c>
      <c r="D1" s="183" t="s">
        <v>11</v>
      </c>
      <c r="E1" s="183" t="s">
        <v>20</v>
      </c>
      <c r="F1" s="184" t="s">
        <v>2</v>
      </c>
      <c r="G1" s="184"/>
      <c r="H1" s="177" t="s">
        <v>4</v>
      </c>
      <c r="I1" s="177"/>
      <c r="J1" s="178" t="s">
        <v>3</v>
      </c>
      <c r="K1" s="178"/>
    </row>
    <row r="2" spans="1:11" ht="15.75" thickBot="1" x14ac:dyDescent="0.3">
      <c r="A2" s="188"/>
      <c r="B2" s="188"/>
      <c r="C2" s="183"/>
      <c r="D2" s="183"/>
      <c r="E2" s="183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85" t="s">
        <v>23</v>
      </c>
      <c r="B3" s="3" t="s">
        <v>22</v>
      </c>
      <c r="C3" s="185">
        <v>1320</v>
      </c>
      <c r="D3" s="185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86"/>
      <c r="B4" s="2" t="s">
        <v>12</v>
      </c>
      <c r="C4" s="186"/>
      <c r="D4" s="187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86"/>
      <c r="B5" s="2" t="s">
        <v>13</v>
      </c>
      <c r="C5" s="186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86"/>
      <c r="B6" s="2" t="s">
        <v>17</v>
      </c>
      <c r="C6" s="186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87"/>
      <c r="B7" s="2" t="s">
        <v>18</v>
      </c>
      <c r="C7" s="187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532_back</vt:lpstr>
      <vt:lpstr>1064_back</vt:lpstr>
      <vt:lpstr>1550_back</vt:lpstr>
      <vt:lpstr>532</vt:lpstr>
      <vt:lpstr>600</vt:lpstr>
      <vt:lpstr>700</vt:lpstr>
      <vt:lpstr>800</vt:lpstr>
      <vt:lpstr>1064</vt:lpstr>
      <vt:lpstr>Amorphous phase</vt:lpstr>
      <vt:lpstr>Crystalline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2026-06-11T06:19:31Z</dcterms:modified>
</cp:coreProperties>
</file>