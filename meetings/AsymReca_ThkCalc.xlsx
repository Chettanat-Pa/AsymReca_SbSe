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meetings\"/>
    </mc:Choice>
  </mc:AlternateContent>
  <xr:revisionPtr revIDLastSave="0" documentId="13_ncr:1_{98DC32DB-07CD-4939-8228-6D731379F6A3}" xr6:coauthVersionLast="47" xr6:coauthVersionMax="47" xr10:uidLastSave="{00000000-0000-0000-0000-000000000000}"/>
  <bookViews>
    <workbookView xWindow="720" yWindow="-120" windowWidth="28200" windowHeight="16440" activeTab="4" xr2:uid="{00000000-000D-0000-FFFF-FFFF00000000}"/>
  </bookViews>
  <sheets>
    <sheet name="532" sheetId="8" r:id="rId1"/>
    <sheet name="600" sheetId="10" r:id="rId2"/>
    <sheet name="700" sheetId="11" r:id="rId3"/>
    <sheet name="800" sheetId="12" r:id="rId4"/>
    <sheet name="1064" sheetId="9" r:id="rId5"/>
    <sheet name="Amorphous phase" sheetId="7" state="hidden" r:id="rId6"/>
    <sheet name="Crystalline phase" sheetId="4" r:id="rId7"/>
    <sheet name="Sheet2" sheetId="5" state="hidden" r:id="rId8"/>
    <sheet name="Sheet3" sheetId="6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9" l="1"/>
  <c r="S24" i="9"/>
  <c r="P24" i="9"/>
  <c r="M24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H18" i="9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P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S3" i="8" l="1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</calcChain>
</file>

<file path=xl/sharedStrings.xml><?xml version="1.0" encoding="utf-8"?>
<sst xmlns="http://schemas.openxmlformats.org/spreadsheetml/2006/main" count="377" uniqueCount="100">
  <si>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</si>
  <si>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</si>
  <si>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</si>
  <si>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</si>
  <si>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</si>
  <si>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</si>
  <si>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</si>
  <si>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</si>
  <si>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</si>
  <si>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</si>
  <si>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</si>
  <si>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</si>
  <si>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</si>
  <si>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</si>
  <si>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</si>
  <si>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</si>
  <si>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</si>
  <si>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</si>
  <si>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</si>
  <si>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</si>
  <si>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</si>
  <si>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</si>
  <si>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</si>
  <si>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</si>
  <si>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</si>
  <si>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</si>
  <si>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</si>
  <si>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</si>
  <si>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</si>
  <si>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</si>
  <si>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</si>
  <si>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</si>
  <si>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</si>
  <si>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</si>
  <si>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</si>
  <si>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</si>
  <si>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</si>
  <si>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</si>
  <si>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</si>
  <si>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</si>
  <si>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</si>
  <si>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</si>
  <si>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</si>
  <si>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</si>
  <si>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</si>
  <si>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</si>
  <si>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</si>
  <si>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</si>
  <si>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</si>
  <si>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</si>
  <si>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</si>
  <si>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</si>
  <si>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</si>
  <si>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</si>
  <si>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</si>
  <si>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</si>
  <si>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</si>
  <si>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</si>
  <si>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</si>
  <si>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</si>
  <si>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</si>
  <si>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</si>
  <si>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</si>
  <si>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</si>
  <si>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</si>
  <si>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</si>
  <si>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</si>
  <si>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</si>
  <si>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</si>
  <si>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</si>
  <si>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</si>
  <si>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</si>
  <si>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</si>
  <si>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500-680</t>
  </si>
  <si>
    <t>520-610</t>
  </si>
  <si>
    <t>530-580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</si>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</sst>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6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A21" sqref="A21:C22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0" t="s">
        <v>0</v>
      </c>
      <c r="B1" s="31" t="s">
        <v>68</v>
      </c>
      <c r="C1" s="132" t="s">
        <v>69</v>
      </c>
      <c r="D1" s="30" t="s">
        <v>67</v>
      </c>
      <c r="E1" s="130" t="s">
        <v>30</v>
      </c>
      <c r="F1" s="127" t="s">
        <v>29</v>
      </c>
      <c r="G1" s="123" t="s">
        <v>32</v>
      </c>
      <c r="H1" s="125" t="s">
        <v>66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20" t="s">
        <v>72</v>
      </c>
    </row>
    <row r="2" spans="1:25" s="36" customFormat="1" ht="16.5" thickBot="1" x14ac:dyDescent="0.3">
      <c r="A2" s="121"/>
      <c r="B2" s="86"/>
      <c r="C2" s="133"/>
      <c r="E2" s="134"/>
      <c r="F2" s="122"/>
      <c r="G2" s="124"/>
      <c r="H2" s="126"/>
      <c r="I2" s="122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1"/>
      <c r="V2" s="122"/>
      <c r="W2" s="122"/>
      <c r="X2" s="122"/>
      <c r="Y2" s="122"/>
    </row>
    <row r="3" spans="1:25" s="30" customFormat="1" x14ac:dyDescent="0.25">
      <c r="A3" s="30">
        <v>532</v>
      </c>
      <c r="B3" s="30">
        <v>0</v>
      </c>
      <c r="C3" s="45" t="s">
        <v>77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7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>K3-L3</f>
        <v>7.3000000000000009E-2</v>
      </c>
      <c r="N3" s="89">
        <v>0.61799999999999999</v>
      </c>
      <c r="O3" s="89">
        <v>0.497</v>
      </c>
      <c r="P3" s="90">
        <f>N3-O3</f>
        <v>0.121</v>
      </c>
      <c r="Q3" s="89">
        <v>0.3</v>
      </c>
      <c r="R3" s="89">
        <v>0.495</v>
      </c>
      <c r="S3" s="90">
        <f>Q3-R3</f>
        <v>-0.19500000000000001</v>
      </c>
      <c r="T3" s="69"/>
    </row>
    <row r="4" spans="1:25" s="30" customFormat="1" x14ac:dyDescent="0.25">
      <c r="B4" s="32">
        <v>0</v>
      </c>
      <c r="C4" s="38" t="s">
        <v>78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ref="M4:M7" si="1">K4-L4</f>
        <v>0.13500000000000001</v>
      </c>
      <c r="N4" s="94">
        <v>0.83799999999999997</v>
      </c>
      <c r="O4" s="94">
        <v>0.93</v>
      </c>
      <c r="P4" s="97">
        <f t="shared" ref="P4:P7" si="2">N4-O4</f>
        <v>-9.2000000000000082E-2</v>
      </c>
      <c r="Q4" s="94">
        <v>0</v>
      </c>
      <c r="R4" s="94">
        <v>4.5999999999999999E-2</v>
      </c>
      <c r="S4" s="97">
        <f t="shared" ref="S4:S7" si="3">Q4-R4</f>
        <v>-4.5999999999999999E-2</v>
      </c>
      <c r="T4" s="69"/>
    </row>
    <row r="5" spans="1:25" x14ac:dyDescent="0.25">
      <c r="B5" s="32">
        <v>0</v>
      </c>
      <c r="C5" s="38" t="s">
        <v>79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78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78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78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>G8</f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>K8-L8</f>
        <v>0.16700000000000001</v>
      </c>
      <c r="N8" s="94">
        <v>0.78</v>
      </c>
      <c r="O8" s="94">
        <v>0.89</v>
      </c>
      <c r="P8" s="97">
        <f>N8-O8</f>
        <v>-0.10999999999999999</v>
      </c>
      <c r="Q8" s="94">
        <v>0</v>
      </c>
      <c r="R8" s="94">
        <v>5.2999999999999999E-2</v>
      </c>
      <c r="S8" s="97">
        <f>Q8-R8</f>
        <v>-5.2999999999999999E-2</v>
      </c>
    </row>
    <row r="9" spans="1:25" x14ac:dyDescent="0.25">
      <c r="A9" s="30"/>
      <c r="B9" s="32">
        <v>2</v>
      </c>
      <c r="C9" s="38" t="s">
        <v>78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>G9</f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>K9-L9</f>
        <v>0.19400000000000003</v>
      </c>
      <c r="N9" s="92">
        <v>0.66500000000000004</v>
      </c>
      <c r="O9" s="92">
        <v>0.79</v>
      </c>
      <c r="P9" s="97">
        <f>N9-O9</f>
        <v>-0.125</v>
      </c>
      <c r="Q9" s="92">
        <v>0</v>
      </c>
      <c r="R9" s="92">
        <v>7.0999999999999994E-2</v>
      </c>
      <c r="S9" s="97">
        <f>Q9-R9</f>
        <v>-7.0999999999999994E-2</v>
      </c>
    </row>
    <row r="10" spans="1:25" x14ac:dyDescent="0.25">
      <c r="A10" s="30"/>
      <c r="B10" s="32">
        <v>1</v>
      </c>
      <c r="C10" s="38" t="s">
        <v>78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>G10</f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>K10-L10</f>
        <v>0.10300000000000001</v>
      </c>
      <c r="N10" s="92">
        <v>0.86899999999999999</v>
      </c>
      <c r="O10" s="92">
        <v>0.89</v>
      </c>
      <c r="P10" s="41">
        <f>N10-O10</f>
        <v>-2.1000000000000019E-2</v>
      </c>
      <c r="Q10" s="92">
        <v>0</v>
      </c>
      <c r="R10" s="92">
        <v>0.08</v>
      </c>
      <c r="S10" s="41">
        <f>Q10-R10</f>
        <v>-0.08</v>
      </c>
    </row>
    <row r="11" spans="1:25" x14ac:dyDescent="0.25">
      <c r="B11" s="32">
        <v>2</v>
      </c>
      <c r="C11" s="38" t="s">
        <v>78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>G11</f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>K11-L11</f>
        <v>0.13600000000000001</v>
      </c>
      <c r="N11" s="92">
        <v>0.80300000000000005</v>
      </c>
      <c r="O11" s="92">
        <v>0.89</v>
      </c>
      <c r="P11" s="97">
        <f>N11-O11</f>
        <v>-8.6999999999999966E-2</v>
      </c>
      <c r="Q11" s="92">
        <v>0</v>
      </c>
      <c r="R11" s="92">
        <v>4.5999999999999999E-2</v>
      </c>
      <c r="S11" s="97">
        <f>Q11-R11</f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80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>K13-L13</f>
        <v>0.26100000000000001</v>
      </c>
      <c r="N13" s="92">
        <v>0.57399999999999995</v>
      </c>
      <c r="O13" s="92">
        <v>0.78</v>
      </c>
      <c r="P13" s="97">
        <f>N13-O13</f>
        <v>-0.20600000000000007</v>
      </c>
      <c r="Q13" s="92">
        <v>0</v>
      </c>
      <c r="R13" s="92">
        <v>5.7000000000000002E-2</v>
      </c>
      <c r="S13" s="97">
        <f>Q13-R13</f>
        <v>-5.7000000000000002E-2</v>
      </c>
      <c r="T13" s="31"/>
    </row>
    <row r="14" spans="1:25" x14ac:dyDescent="0.25">
      <c r="B14" s="32">
        <v>0</v>
      </c>
      <c r="C14" s="38" t="s">
        <v>80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ref="H14:H18" si="4">G14*2</f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ref="M14:M21" si="5">K14-L14</f>
        <v>0.159</v>
      </c>
      <c r="N14" s="92">
        <v>0.78</v>
      </c>
      <c r="O14" s="92">
        <v>0.84</v>
      </c>
      <c r="P14" s="97">
        <f t="shared" ref="P14:P21" si="6">N14-O14</f>
        <v>-5.9999999999999942E-2</v>
      </c>
      <c r="Q14" s="92">
        <v>0</v>
      </c>
      <c r="R14" s="92">
        <v>0.1</v>
      </c>
      <c r="S14" s="97">
        <f t="shared" ref="S14:S21" si="7">Q14-R14</f>
        <v>-0.1</v>
      </c>
    </row>
    <row r="15" spans="1:25" x14ac:dyDescent="0.25">
      <c r="B15" s="32">
        <v>1</v>
      </c>
      <c r="C15" s="81" t="s">
        <v>80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80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80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80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64" t="s">
        <v>94</v>
      </c>
      <c r="C20" s="162" t="s">
        <v>95</v>
      </c>
      <c r="E20" s="163" t="s">
        <v>89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91</v>
      </c>
      <c r="C21" s="165" t="s">
        <v>88</v>
      </c>
      <c r="D21" s="37"/>
      <c r="E21" s="163" t="s">
        <v>89</v>
      </c>
      <c r="F21" s="34">
        <v>96.08</v>
      </c>
      <c r="G21" s="84">
        <v>5.09</v>
      </c>
      <c r="H21" s="98">
        <f>G21</f>
        <v>5.09</v>
      </c>
      <c r="I21" s="161" t="s">
        <v>90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92</v>
      </c>
      <c r="B22" s="32"/>
      <c r="C22" s="165" t="s">
        <v>88</v>
      </c>
      <c r="D22" s="38"/>
      <c r="E22" s="163" t="s">
        <v>89</v>
      </c>
      <c r="F22" s="34">
        <v>96.08</v>
      </c>
      <c r="G22" s="84">
        <v>7.6</v>
      </c>
      <c r="H22" s="98">
        <f>G22</f>
        <v>7.6</v>
      </c>
      <c r="I22" s="161" t="s">
        <v>93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85</v>
      </c>
      <c r="C24" s="37" t="s">
        <v>86</v>
      </c>
      <c r="M24" s="109"/>
      <c r="P24" s="97"/>
      <c r="S24" s="97"/>
      <c r="T24" s="34"/>
    </row>
    <row r="25" spans="1:20" x14ac:dyDescent="0.25">
      <c r="A25" s="30" t="s">
        <v>83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84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A1:A2"/>
    <mergeCell ref="C1:C2"/>
    <mergeCell ref="E1:E2"/>
    <mergeCell ref="F1:F2"/>
    <mergeCell ref="Q1:S1"/>
    <mergeCell ref="T1:T2"/>
    <mergeCell ref="V2:W2"/>
    <mergeCell ref="X2:Y2"/>
    <mergeCell ref="G1:G2"/>
    <mergeCell ref="H1:H2"/>
    <mergeCell ref="I1:I2"/>
    <mergeCell ref="J1:J2"/>
    <mergeCell ref="K1:M1"/>
    <mergeCell ref="N1:P1"/>
  </mergeCells>
  <conditionalFormatting sqref="M4:M18">
    <cfRule type="cellIs" dxfId="17" priority="2" operator="greaterThan">
      <formula>$M$3</formula>
    </cfRule>
  </conditionalFormatting>
  <conditionalFormatting sqref="M40:M42">
    <cfRule type="cellIs" dxfId="16" priority="4" operator="greaterThan">
      <formula>0.45</formula>
    </cfRule>
    <cfRule type="cellIs" priority="5" operator="greaterThan">
      <formula>0.45</formula>
    </cfRule>
  </conditionalFormatting>
  <conditionalFormatting sqref="M20:M21">
    <cfRule type="cellIs" dxfId="15" priority="1" operator="greaterThan">
      <formula>$M$3</formula>
    </cfRule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0" t="s">
        <v>0</v>
      </c>
      <c r="B1" s="114" t="s">
        <v>68</v>
      </c>
      <c r="C1" s="136" t="s">
        <v>69</v>
      </c>
      <c r="D1" s="30" t="s">
        <v>67</v>
      </c>
      <c r="E1" s="130" t="s">
        <v>30</v>
      </c>
      <c r="F1" s="127" t="s">
        <v>29</v>
      </c>
      <c r="G1" s="123" t="s">
        <v>32</v>
      </c>
      <c r="H1" s="135" t="s">
        <v>27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20" t="s">
        <v>72</v>
      </c>
    </row>
    <row r="2" spans="1:25" s="36" customFormat="1" ht="16.5" thickBot="1" x14ac:dyDescent="0.3">
      <c r="A2" s="121"/>
      <c r="B2" s="115"/>
      <c r="C2" s="137"/>
      <c r="E2" s="134"/>
      <c r="F2" s="122"/>
      <c r="G2" s="124"/>
      <c r="H2" s="121"/>
      <c r="I2" s="122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1"/>
      <c r="V2" s="122"/>
      <c r="W2" s="122"/>
      <c r="X2" s="122"/>
      <c r="Y2" s="122"/>
    </row>
    <row r="3" spans="1:25" x14ac:dyDescent="0.25">
      <c r="A3" s="32">
        <v>600</v>
      </c>
      <c r="B3" s="108">
        <v>0</v>
      </c>
      <c r="C3" s="32" t="s">
        <v>77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78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78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78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78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78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81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81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81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80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82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82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82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82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85</v>
      </c>
      <c r="C20" s="37" t="s">
        <v>86</v>
      </c>
      <c r="H20" s="98"/>
      <c r="M20" s="97"/>
      <c r="P20" s="97"/>
      <c r="S20" s="97"/>
    </row>
    <row r="21" spans="1:19" x14ac:dyDescent="0.25">
      <c r="A21" s="30" t="s">
        <v>83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84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phoneticPr fontId="1" type="noConversion"/>
  <conditionalFormatting sqref="M4:M17">
    <cfRule type="cellIs" dxfId="14" priority="1" operator="greaterThan">
      <formula>$M$3</formula>
    </cfRule>
  </conditionalFormatting>
  <conditionalFormatting sqref="M23:M25">
    <cfRule type="cellIs" dxfId="13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0" t="s">
        <v>0</v>
      </c>
      <c r="B1" s="114" t="s">
        <v>68</v>
      </c>
      <c r="C1" s="136" t="s">
        <v>69</v>
      </c>
      <c r="D1" s="30" t="s">
        <v>67</v>
      </c>
      <c r="E1" s="130" t="s">
        <v>30</v>
      </c>
      <c r="F1" s="127" t="s">
        <v>29</v>
      </c>
      <c r="G1" s="123" t="s">
        <v>32</v>
      </c>
      <c r="H1" s="135" t="s">
        <v>27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20" t="s">
        <v>72</v>
      </c>
    </row>
    <row r="2" spans="1:25" s="36" customFormat="1" ht="16.5" thickBot="1" x14ac:dyDescent="0.3">
      <c r="A2" s="121"/>
      <c r="B2" s="115"/>
      <c r="C2" s="137"/>
      <c r="E2" s="134"/>
      <c r="F2" s="122"/>
      <c r="G2" s="124"/>
      <c r="H2" s="121"/>
      <c r="I2" s="122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1"/>
      <c r="V2" s="122"/>
      <c r="W2" s="122"/>
      <c r="X2" s="122"/>
      <c r="Y2" s="122"/>
    </row>
    <row r="3" spans="1:25" x14ac:dyDescent="0.25">
      <c r="A3" s="32">
        <v>700</v>
      </c>
      <c r="B3" s="108">
        <v>0</v>
      </c>
      <c r="C3" s="32" t="s">
        <v>77</v>
      </c>
      <c r="D3" s="38">
        <v>0</v>
      </c>
      <c r="E3" s="44">
        <v>0</v>
      </c>
      <c r="F3" s="34">
        <v>0</v>
      </c>
      <c r="G3" s="84">
        <v>89.6</v>
      </c>
      <c r="H3" s="98">
        <f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78</v>
      </c>
      <c r="D4" s="38">
        <v>0</v>
      </c>
      <c r="E4" s="44">
        <v>43.5</v>
      </c>
      <c r="F4" s="34">
        <v>119</v>
      </c>
      <c r="G4" s="84">
        <v>67</v>
      </c>
      <c r="H4" s="98">
        <f>G4</f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0">K4-L4</f>
        <v>0.499</v>
      </c>
      <c r="N4" s="92">
        <v>0.28599999999999998</v>
      </c>
      <c r="O4" s="92">
        <v>0.64600000000000002</v>
      </c>
      <c r="P4" s="41">
        <f t="shared" ref="P4:P12" si="1">N4-O4</f>
        <v>-0.36000000000000004</v>
      </c>
      <c r="Q4" s="92">
        <v>0</v>
      </c>
      <c r="R4" s="92">
        <v>0.14000000000000001</v>
      </c>
      <c r="S4" s="41">
        <f t="shared" ref="S4:S9" si="2">Q4-R4</f>
        <v>-0.14000000000000001</v>
      </c>
      <c r="T4" s="34"/>
    </row>
    <row r="5" spans="1:25" x14ac:dyDescent="0.25">
      <c r="B5" s="108">
        <v>1</v>
      </c>
      <c r="C5" s="108" t="s">
        <v>78</v>
      </c>
      <c r="D5" s="38">
        <v>0</v>
      </c>
      <c r="E5" s="44">
        <v>43.5</v>
      </c>
      <c r="F5" s="34">
        <v>119</v>
      </c>
      <c r="G5" s="84">
        <v>51.3</v>
      </c>
      <c r="H5" s="98">
        <f t="shared" ref="H5:H9" si="3">G5</f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0"/>
        <v>0.43300000000000005</v>
      </c>
      <c r="N5" s="92">
        <v>0.20399999999999999</v>
      </c>
      <c r="O5" s="92">
        <v>0.60199999999999998</v>
      </c>
      <c r="P5" s="41">
        <f t="shared" si="1"/>
        <v>-0.39800000000000002</v>
      </c>
      <c r="Q5" s="92">
        <v>0</v>
      </c>
      <c r="R5" s="92">
        <v>3.5000000000000003E-2</v>
      </c>
      <c r="S5" s="41">
        <f t="shared" si="2"/>
        <v>-3.5000000000000003E-2</v>
      </c>
      <c r="T5" s="34"/>
    </row>
    <row r="6" spans="1:25" s="30" customFormat="1" x14ac:dyDescent="0.25">
      <c r="B6" s="108">
        <v>1</v>
      </c>
      <c r="C6" s="108" t="s">
        <v>78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3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0"/>
        <v>0.5109999999999999</v>
      </c>
      <c r="N6" s="92">
        <v>0.30499999999999999</v>
      </c>
      <c r="O6" s="92">
        <v>0.61</v>
      </c>
      <c r="P6" s="41">
        <f t="shared" si="1"/>
        <v>-0.30499999999999999</v>
      </c>
      <c r="Q6" s="92">
        <v>0</v>
      </c>
      <c r="R6" s="92">
        <v>0.20599999999999999</v>
      </c>
      <c r="S6" s="41">
        <f t="shared" si="2"/>
        <v>-0.20599999999999999</v>
      </c>
    </row>
    <row r="7" spans="1:25" x14ac:dyDescent="0.25">
      <c r="B7" s="108">
        <v>1</v>
      </c>
      <c r="C7" s="108" t="s">
        <v>78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3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0"/>
        <v>0.45100000000000007</v>
      </c>
      <c r="N7" s="92">
        <v>0.46100000000000002</v>
      </c>
      <c r="O7" s="92">
        <v>0.55300000000000005</v>
      </c>
      <c r="P7" s="41">
        <f t="shared" si="1"/>
        <v>-9.2000000000000026E-2</v>
      </c>
      <c r="Q7" s="92">
        <v>2E-3</v>
      </c>
      <c r="R7" s="92">
        <v>0.36099999999999999</v>
      </c>
      <c r="S7" s="41">
        <f t="shared" si="2"/>
        <v>-0.35899999999999999</v>
      </c>
    </row>
    <row r="8" spans="1:25" x14ac:dyDescent="0.25">
      <c r="B8" s="108">
        <v>2</v>
      </c>
      <c r="C8" s="108" t="s">
        <v>78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3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0"/>
        <v>0.43000000000000005</v>
      </c>
      <c r="N8" s="92">
        <v>0.214</v>
      </c>
      <c r="O8" s="92">
        <v>0.54500000000000004</v>
      </c>
      <c r="P8" s="41">
        <f t="shared" si="1"/>
        <v>-0.33100000000000007</v>
      </c>
      <c r="Q8" s="92">
        <v>0</v>
      </c>
      <c r="R8" s="92">
        <v>9.8000000000000004E-2</v>
      </c>
      <c r="S8" s="41">
        <f t="shared" si="2"/>
        <v>-9.8000000000000004E-2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3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0"/>
        <v>0.49399999999999999</v>
      </c>
      <c r="N9" s="92">
        <v>0.375</v>
      </c>
      <c r="O9" s="92">
        <v>0.57499999999999996</v>
      </c>
      <c r="P9" s="41">
        <f t="shared" si="1"/>
        <v>-0.19999999999999996</v>
      </c>
      <c r="Q9" s="92">
        <v>0</v>
      </c>
      <c r="R9" s="92">
        <v>0.29399999999999998</v>
      </c>
      <c r="S9" s="41">
        <f t="shared" si="2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80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0"/>
        <v>0.45200000000000001</v>
      </c>
      <c r="N11" s="92">
        <v>0.46600000000000003</v>
      </c>
      <c r="O11" s="92">
        <v>0.53800000000000003</v>
      </c>
      <c r="P11" s="41">
        <f t="shared" si="1"/>
        <v>-7.2000000000000008E-2</v>
      </c>
      <c r="Q11" s="92">
        <v>0</v>
      </c>
      <c r="R11" s="92">
        <v>0.38100000000000001</v>
      </c>
      <c r="S11" s="41">
        <f t="shared" ref="S11:S12" si="4">Q11-R11</f>
        <v>-0.38100000000000001</v>
      </c>
      <c r="T11" s="87"/>
    </row>
    <row r="12" spans="1:25" x14ac:dyDescent="0.25">
      <c r="B12" s="108">
        <v>2</v>
      </c>
      <c r="C12" s="38" t="s">
        <v>80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0"/>
        <v>0.45300000000000001</v>
      </c>
      <c r="N12" s="92">
        <v>0.47099999999999997</v>
      </c>
      <c r="O12" s="92">
        <v>0.48499999999999999</v>
      </c>
      <c r="P12" s="41">
        <f t="shared" si="1"/>
        <v>-1.4000000000000012E-2</v>
      </c>
      <c r="Q12" s="92">
        <v>0</v>
      </c>
      <c r="R12" s="92">
        <v>0.44</v>
      </c>
      <c r="S12" s="41">
        <f t="shared" si="4"/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85</v>
      </c>
      <c r="C20" s="37" t="s">
        <v>86</v>
      </c>
      <c r="H20" s="98"/>
      <c r="M20" s="97"/>
      <c r="P20" s="97"/>
      <c r="S20" s="97"/>
    </row>
    <row r="21" spans="1:19" x14ac:dyDescent="0.25">
      <c r="A21" s="30" t="s">
        <v>83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84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2">
    <cfRule type="cellIs" dxfId="12" priority="1" operator="greaterThan">
      <formula>$M$3</formula>
    </cfRule>
  </conditionalFormatting>
  <conditionalFormatting sqref="M23:M25">
    <cfRule type="cellIs" dxfId="11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0" t="s">
        <v>0</v>
      </c>
      <c r="B1" s="114" t="s">
        <v>68</v>
      </c>
      <c r="C1" s="136" t="s">
        <v>69</v>
      </c>
      <c r="D1" s="30" t="s">
        <v>67</v>
      </c>
      <c r="E1" s="130" t="s">
        <v>30</v>
      </c>
      <c r="F1" s="127" t="s">
        <v>29</v>
      </c>
      <c r="G1" s="123" t="s">
        <v>32</v>
      </c>
      <c r="H1" s="135" t="s">
        <v>27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20" t="s">
        <v>72</v>
      </c>
    </row>
    <row r="2" spans="1:25" s="36" customFormat="1" ht="16.5" thickBot="1" x14ac:dyDescent="0.3">
      <c r="A2" s="121"/>
      <c r="B2" s="115"/>
      <c r="C2" s="137"/>
      <c r="E2" s="134"/>
      <c r="F2" s="122"/>
      <c r="G2" s="124"/>
      <c r="H2" s="121"/>
      <c r="I2" s="122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1"/>
      <c r="V2" s="122"/>
      <c r="W2" s="122"/>
      <c r="X2" s="122"/>
      <c r="Y2" s="122"/>
    </row>
    <row r="3" spans="1:25" x14ac:dyDescent="0.25">
      <c r="A3" s="32">
        <v>800</v>
      </c>
      <c r="B3" s="108">
        <v>0</v>
      </c>
      <c r="C3" s="32" t="s">
        <v>77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 t="shared" ref="M3:M7" si="0">K3-L3</f>
        <v>0.79400000000000004</v>
      </c>
      <c r="N3" s="92">
        <v>8.7999999999999995E-2</v>
      </c>
      <c r="O3" s="92">
        <v>0.27500000000000002</v>
      </c>
      <c r="P3" s="41">
        <f t="shared" ref="P3:P7" si="1">N3-O3</f>
        <v>-0.18700000000000003</v>
      </c>
      <c r="Q3" s="92">
        <v>2E-3</v>
      </c>
      <c r="R3" s="92">
        <v>0.60899999999999999</v>
      </c>
      <c r="S3" s="41">
        <f t="shared" ref="S3:S7" si="2">Q3-R3</f>
        <v>-0.60699999999999998</v>
      </c>
    </row>
    <row r="4" spans="1:25" x14ac:dyDescent="0.25">
      <c r="A4" s="30"/>
      <c r="B4" s="108">
        <v>1</v>
      </c>
      <c r="C4" s="108" t="s">
        <v>78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 t="shared" si="0"/>
        <v>0.29500000000000004</v>
      </c>
      <c r="N4" s="92">
        <v>1.4999999999999999E-2</v>
      </c>
      <c r="O4" s="92">
        <v>0.19400000000000001</v>
      </c>
      <c r="P4" s="41">
        <f t="shared" si="1"/>
        <v>-0.17899999999999999</v>
      </c>
      <c r="Q4" s="92">
        <v>0</v>
      </c>
      <c r="R4" s="92">
        <v>0.11600000000000001</v>
      </c>
      <c r="S4" s="41">
        <f t="shared" si="2"/>
        <v>-0.11600000000000001</v>
      </c>
      <c r="T4" s="34"/>
    </row>
    <row r="5" spans="1:25" x14ac:dyDescent="0.25">
      <c r="B5" s="108">
        <v>1</v>
      </c>
      <c r="C5" s="108" t="s">
        <v>78</v>
      </c>
      <c r="D5" s="38">
        <v>1</v>
      </c>
      <c r="E5" s="44">
        <v>49.9</v>
      </c>
      <c r="F5" s="34">
        <v>136.1</v>
      </c>
      <c r="G5" s="84">
        <v>75.7</v>
      </c>
      <c r="H5" s="98">
        <f t="shared" ref="H5:H7" si="3"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 t="shared" si="0"/>
        <v>0.72</v>
      </c>
      <c r="N5" s="92">
        <v>0.05</v>
      </c>
      <c r="O5" s="92">
        <v>0.33700000000000002</v>
      </c>
      <c r="P5" s="41">
        <f t="shared" si="1"/>
        <v>-0.28700000000000003</v>
      </c>
      <c r="Q5" s="92">
        <v>0</v>
      </c>
      <c r="R5" s="92">
        <v>0.434</v>
      </c>
      <c r="S5" s="41">
        <f t="shared" si="2"/>
        <v>-0.434</v>
      </c>
      <c r="T5" s="34"/>
    </row>
    <row r="6" spans="1:25" s="30" customFormat="1" x14ac:dyDescent="0.25">
      <c r="B6" s="108">
        <v>2</v>
      </c>
      <c r="C6" s="108" t="s">
        <v>78</v>
      </c>
      <c r="D6" s="32">
        <v>1</v>
      </c>
      <c r="E6" s="44">
        <v>49.9</v>
      </c>
      <c r="F6" s="34">
        <v>136.1</v>
      </c>
      <c r="G6" s="84">
        <v>54.7</v>
      </c>
      <c r="H6" s="98">
        <f t="shared" si="3"/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 t="shared" si="0"/>
        <v>0.50299999999999989</v>
      </c>
      <c r="N6" s="92">
        <v>0.03</v>
      </c>
      <c r="O6" s="92">
        <v>0.33200000000000002</v>
      </c>
      <c r="P6" s="41">
        <f t="shared" si="1"/>
        <v>-0.30200000000000005</v>
      </c>
      <c r="Q6" s="92">
        <v>1E-3</v>
      </c>
      <c r="R6" s="92">
        <v>0.20200000000000001</v>
      </c>
      <c r="S6" s="41">
        <f t="shared" si="2"/>
        <v>-0.20100000000000001</v>
      </c>
    </row>
    <row r="7" spans="1:25" x14ac:dyDescent="0.25">
      <c r="B7" s="108">
        <v>2</v>
      </c>
      <c r="C7" s="108" t="s">
        <v>78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 t="shared" si="3"/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 t="shared" si="0"/>
        <v>0.81200000000000006</v>
      </c>
      <c r="N7" s="92">
        <v>7.5999999999999998E-2</v>
      </c>
      <c r="O7" s="92">
        <v>0.25900000000000001</v>
      </c>
      <c r="P7" s="41">
        <f t="shared" si="1"/>
        <v>-0.183</v>
      </c>
      <c r="Q7" s="92">
        <v>1E-3</v>
      </c>
      <c r="R7" s="92">
        <v>0.63</v>
      </c>
      <c r="S7" s="41">
        <f t="shared" si="2"/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87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 t="shared" ref="M10" si="4">K10-L10</f>
        <v>0.29400000000000004</v>
      </c>
      <c r="N10" s="92">
        <v>1.54E-2</v>
      </c>
      <c r="O10" s="92">
        <v>0.2</v>
      </c>
      <c r="P10" s="41">
        <f t="shared" ref="P10" si="5">N10-O10</f>
        <v>-0.18460000000000001</v>
      </c>
      <c r="Q10" s="92">
        <v>0</v>
      </c>
      <c r="R10" s="92">
        <v>0.115</v>
      </c>
      <c r="S10" s="41">
        <f t="shared" ref="S10" si="6"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87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85</v>
      </c>
      <c r="C20" s="37" t="s">
        <v>86</v>
      </c>
      <c r="H20" s="98"/>
      <c r="M20" s="97"/>
      <c r="P20" s="97"/>
      <c r="S20" s="97"/>
    </row>
    <row r="21" spans="1:19" x14ac:dyDescent="0.25">
      <c r="A21" s="30" t="s">
        <v>83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84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7 M10:M11">
    <cfRule type="cellIs" dxfId="10" priority="1" operator="greaterThan">
      <formula>$M$3</formula>
    </cfRule>
  </conditionalFormatting>
  <conditionalFormatting sqref="M23:M25">
    <cfRule type="cellIs" dxfId="9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29"/>
  <sheetViews>
    <sheetView tabSelected="1" zoomScale="130" zoomScaleNormal="130" workbookViewId="0">
      <selection activeCell="E25" sqref="E25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20" t="s">
        <v>0</v>
      </c>
      <c r="B1" s="31" t="s">
        <v>68</v>
      </c>
      <c r="C1" s="132" t="s">
        <v>69</v>
      </c>
      <c r="D1" s="30" t="s">
        <v>67</v>
      </c>
      <c r="E1" s="130" t="s">
        <v>30</v>
      </c>
      <c r="F1" s="127" t="s">
        <v>29</v>
      </c>
      <c r="G1" s="123" t="s">
        <v>32</v>
      </c>
      <c r="H1" s="125" t="s">
        <v>66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20" t="s">
        <v>72</v>
      </c>
    </row>
    <row r="2" spans="1:25" s="36" customFormat="1" ht="16.5" thickBot="1" x14ac:dyDescent="0.3">
      <c r="A2" s="121"/>
      <c r="B2" s="86"/>
      <c r="C2" s="133"/>
      <c r="E2" s="134"/>
      <c r="F2" s="122"/>
      <c r="G2" s="124"/>
      <c r="H2" s="126"/>
      <c r="I2" s="122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21"/>
      <c r="V2" s="122"/>
      <c r="W2" s="122"/>
      <c r="X2" s="122"/>
      <c r="Y2" s="122"/>
    </row>
    <row r="3" spans="1:25" s="30" customFormat="1" x14ac:dyDescent="0.25">
      <c r="A3" s="30">
        <v>1064</v>
      </c>
      <c r="B3" s="30">
        <v>0</v>
      </c>
      <c r="C3" s="45" t="s">
        <v>77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0.28599999999999998</v>
      </c>
      <c r="M3" s="90">
        <f t="shared" ref="M3:M6" si="0">K3-L3</f>
        <v>0.71399999999999997</v>
      </c>
      <c r="N3" s="96">
        <v>3.3299999999999999E-16</v>
      </c>
      <c r="O3" s="96">
        <v>1.2999999999999999E-2</v>
      </c>
      <c r="P3" s="90">
        <f t="shared" ref="P3:P6" si="1">N3-O3</f>
        <v>-1.2999999999999666E-2</v>
      </c>
      <c r="Q3" s="96">
        <v>0</v>
      </c>
      <c r="R3" s="96">
        <v>0.70099999999999996</v>
      </c>
      <c r="S3" s="90">
        <f t="shared" ref="S3:S6" si="2">Q3-R3</f>
        <v>-0.70099999999999996</v>
      </c>
      <c r="T3" s="30" t="s">
        <v>73</v>
      </c>
    </row>
    <row r="4" spans="1:25" x14ac:dyDescent="0.25">
      <c r="B4" s="32">
        <v>1</v>
      </c>
      <c r="C4" s="81" t="s">
        <v>77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 t="shared" si="0"/>
        <v>0.45599999999999996</v>
      </c>
      <c r="N4" s="92">
        <v>-4.4400000000000002E-16</v>
      </c>
      <c r="O4" s="92">
        <v>1.4999999999999999E-2</v>
      </c>
      <c r="P4" s="97">
        <f t="shared" si="1"/>
        <v>-1.5000000000000444E-2</v>
      </c>
      <c r="Q4" s="92">
        <v>0</v>
      </c>
      <c r="R4" s="92">
        <v>0.44</v>
      </c>
      <c r="S4" s="97">
        <f t="shared" si="2"/>
        <v>-0.44</v>
      </c>
      <c r="T4" s="32" t="s">
        <v>74</v>
      </c>
    </row>
    <row r="5" spans="1:25" x14ac:dyDescent="0.25">
      <c r="B5" s="32">
        <v>2</v>
      </c>
      <c r="C5" s="81" t="s">
        <v>77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 t="shared" si="0"/>
        <v>0.73399999999999999</v>
      </c>
      <c r="N5" s="92">
        <v>1.1100000000000001E-15</v>
      </c>
      <c r="O5" s="92">
        <v>1.2E-2</v>
      </c>
      <c r="P5" s="97">
        <f t="shared" si="1"/>
        <v>-1.199999999999889E-2</v>
      </c>
      <c r="Q5" s="92">
        <v>0</v>
      </c>
      <c r="R5" s="92">
        <v>0.72199999999999998</v>
      </c>
      <c r="S5" s="97">
        <f t="shared" si="2"/>
        <v>-0.72199999999999998</v>
      </c>
      <c r="T5" s="34" t="s">
        <v>75</v>
      </c>
    </row>
    <row r="6" spans="1:25" x14ac:dyDescent="0.25">
      <c r="B6" s="32">
        <v>3</v>
      </c>
      <c r="C6" s="81" t="s">
        <v>77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 t="shared" si="0"/>
        <v>0.90400000000000003</v>
      </c>
      <c r="N6" s="92">
        <v>0</v>
      </c>
      <c r="O6" s="92">
        <v>8.0000000000000002E-3</v>
      </c>
      <c r="P6" s="97">
        <f t="shared" si="1"/>
        <v>-8.0000000000000002E-3</v>
      </c>
      <c r="Q6" s="92">
        <v>0</v>
      </c>
      <c r="R6" s="92">
        <v>0.89600000000000002</v>
      </c>
      <c r="S6" s="97">
        <f t="shared" si="2"/>
        <v>-0.89600000000000002</v>
      </c>
      <c r="T6" s="34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3">L8-K8</f>
        <v>4.4599999999999973E-2</v>
      </c>
      <c r="N8" s="92">
        <v>1.2199999999999999E-15</v>
      </c>
      <c r="O8" s="92">
        <v>0.01</v>
      </c>
      <c r="P8" s="41">
        <f t="shared" ref="P8:P11" si="4">O8-N8</f>
        <v>9.9999999999987807E-3</v>
      </c>
      <c r="Q8" s="92">
        <v>5.6000000000000001E-2</v>
      </c>
      <c r="R8" s="92">
        <v>0</v>
      </c>
      <c r="S8" s="41">
        <f t="shared" ref="S8:S11" si="5"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3"/>
        <v>0.18099999999999994</v>
      </c>
      <c r="N10" s="92">
        <v>5.5500000000000005E-16</v>
      </c>
      <c r="O10" s="92">
        <v>0.01</v>
      </c>
      <c r="P10" s="97">
        <f t="shared" si="4"/>
        <v>9.9999999999994451E-3</v>
      </c>
      <c r="Q10" s="92">
        <v>0.19800000000000001</v>
      </c>
      <c r="R10" s="92">
        <v>7.0000000000000001E-3</v>
      </c>
      <c r="S10" s="97">
        <f t="shared" si="5"/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3"/>
        <v>0.35299999999999998</v>
      </c>
      <c r="N11" s="92">
        <v>8.8800000000000003E-16</v>
      </c>
      <c r="O11" s="92">
        <v>0.02</v>
      </c>
      <c r="P11" s="97">
        <f t="shared" si="4"/>
        <v>1.9999999999999112E-2</v>
      </c>
      <c r="Q11" s="92">
        <v>0.374</v>
      </c>
      <c r="R11" s="92">
        <v>0</v>
      </c>
      <c r="S11" s="97">
        <f t="shared" si="5"/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3"/>
        <v>2.8000000000000025E-2</v>
      </c>
      <c r="N13" s="92">
        <v>-6.6599999999999998E-16</v>
      </c>
      <c r="O13" s="92">
        <v>0</v>
      </c>
      <c r="P13" s="97">
        <f t="shared" ref="P13:P17" si="6">O13-N13</f>
        <v>6.6599999999999998E-16</v>
      </c>
      <c r="Q13" s="92">
        <v>3.2000000000000001E-2</v>
      </c>
      <c r="R13" s="92">
        <v>0</v>
      </c>
      <c r="S13" s="97">
        <f t="shared" ref="S13:S17" si="7"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 t="shared" ref="H14:H18" si="8"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3"/>
        <v>9.6999999999999975E-2</v>
      </c>
      <c r="N14" s="92">
        <v>-4.4400000000000002E-16</v>
      </c>
      <c r="O14" s="92">
        <v>0.01</v>
      </c>
      <c r="P14" s="97">
        <f t="shared" si="6"/>
        <v>1.0000000000000444E-2</v>
      </c>
      <c r="Q14" s="92">
        <v>0.106</v>
      </c>
      <c r="R14" s="92">
        <v>1E-3</v>
      </c>
      <c r="S14" s="97">
        <f t="shared" si="7"/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 t="shared" si="8"/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3"/>
        <v>6.3999999999999946E-2</v>
      </c>
      <c r="N15" s="92">
        <v>-2.2200000000000001E-16</v>
      </c>
      <c r="O15" s="92">
        <v>0.01</v>
      </c>
      <c r="P15" s="41">
        <f t="shared" si="6"/>
        <v>1.0000000000000222E-2</v>
      </c>
      <c r="Q15" s="92">
        <v>7.0000000000000007E-2</v>
      </c>
      <c r="R15" s="92">
        <v>0</v>
      </c>
      <c r="S15" s="41">
        <f t="shared" si="7"/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 t="shared" si="8"/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3"/>
        <v>0.17799999999999994</v>
      </c>
      <c r="N16" s="92">
        <v>1.3299999999999999E-15</v>
      </c>
      <c r="O16" s="92">
        <v>0.01</v>
      </c>
      <c r="P16" s="41">
        <f t="shared" si="6"/>
        <v>9.9999999999986697E-3</v>
      </c>
      <c r="Q16" s="92">
        <v>0.19500000000000001</v>
      </c>
      <c r="R16" s="92">
        <v>6.0000000000000001E-3</v>
      </c>
      <c r="S16" s="41">
        <f t="shared" si="7"/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 t="shared" si="8"/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3"/>
        <v>0.373</v>
      </c>
      <c r="N17" s="92">
        <v>1.5499999999999999E-15</v>
      </c>
      <c r="O17" s="92">
        <v>0.02</v>
      </c>
      <c r="P17" s="41">
        <f t="shared" si="6"/>
        <v>1.999999999999845E-2</v>
      </c>
      <c r="Q17" s="92">
        <v>0.39500000000000002</v>
      </c>
      <c r="R17" s="92">
        <v>0</v>
      </c>
      <c r="S17" s="41">
        <f t="shared" si="7"/>
        <v>-0.39500000000000002</v>
      </c>
    </row>
    <row r="18" spans="1:20" x14ac:dyDescent="0.25">
      <c r="H18" s="98">
        <f t="shared" si="8"/>
        <v>0</v>
      </c>
      <c r="K18" s="92"/>
    </row>
    <row r="19" spans="1:20" s="101" customFormat="1" x14ac:dyDescent="0.25">
      <c r="A19" s="32"/>
      <c r="B19" s="32">
        <v>0</v>
      </c>
      <c r="C19" s="119" t="s">
        <v>77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87">
        <v>597</v>
      </c>
    </row>
    <row r="20" spans="1:20" x14ac:dyDescent="0.25">
      <c r="B20" s="32">
        <v>1</v>
      </c>
      <c r="C20" s="119" t="s">
        <v>77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34" t="s">
        <v>76</v>
      </c>
    </row>
    <row r="21" spans="1:20" x14ac:dyDescent="0.25">
      <c r="B21" s="32">
        <v>2</v>
      </c>
      <c r="C21" s="119" t="s">
        <v>77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34" t="s">
        <v>76</v>
      </c>
    </row>
    <row r="22" spans="1:20" x14ac:dyDescent="0.25">
      <c r="B22" s="32">
        <v>3</v>
      </c>
      <c r="C22" s="119" t="s">
        <v>77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4" spans="1:20" ht="22.5" x14ac:dyDescent="0.25">
      <c r="A24" s="32" t="s">
        <v>96</v>
      </c>
      <c r="C24" s="46" t="s">
        <v>97</v>
      </c>
      <c r="E24" s="163" t="s">
        <v>99</v>
      </c>
      <c r="F24" s="34">
        <v>193.08</v>
      </c>
      <c r="G24" s="84">
        <v>157.88</v>
      </c>
      <c r="H24" s="98">
        <f>G24</f>
        <v>157.88</v>
      </c>
      <c r="I24" s="31">
        <v>0</v>
      </c>
      <c r="J24" s="43">
        <v>503</v>
      </c>
      <c r="K24" s="91">
        <v>0.91300000000000003</v>
      </c>
      <c r="L24" s="92">
        <v>0.69099999999999995</v>
      </c>
      <c r="M24" s="97">
        <f t="shared" ref="M24" si="9">K24-L24</f>
        <v>0.22200000000000009</v>
      </c>
      <c r="N24" s="92">
        <v>3.5999999999999997E-2</v>
      </c>
      <c r="O24" s="92">
        <v>4.2000000000000003E-2</v>
      </c>
      <c r="P24" s="97">
        <f t="shared" ref="P24" si="10">N24-O24</f>
        <v>-6.0000000000000053E-3</v>
      </c>
      <c r="Q24" s="92">
        <v>5.0999999999999997E-2</v>
      </c>
      <c r="R24" s="92">
        <v>0.26700000000000002</v>
      </c>
      <c r="S24" s="97">
        <f t="shared" ref="S24" si="11">Q24-R24</f>
        <v>-0.21600000000000003</v>
      </c>
    </row>
    <row r="25" spans="1:20" x14ac:dyDescent="0.25">
      <c r="A25" s="30" t="s">
        <v>91</v>
      </c>
      <c r="C25" s="165" t="s">
        <v>98</v>
      </c>
      <c r="E25" s="163"/>
    </row>
    <row r="26" spans="1:20" x14ac:dyDescent="0.25">
      <c r="A26" s="32" t="s">
        <v>92</v>
      </c>
      <c r="C26" s="165" t="s">
        <v>98</v>
      </c>
      <c r="E26" s="163"/>
    </row>
    <row r="27" spans="1:20" x14ac:dyDescent="0.25">
      <c r="A27" s="30"/>
      <c r="B27" s="30" t="s">
        <v>85</v>
      </c>
      <c r="C27" s="37" t="s">
        <v>86</v>
      </c>
    </row>
    <row r="28" spans="1:20" x14ac:dyDescent="0.25">
      <c r="A28" s="30" t="s">
        <v>83</v>
      </c>
      <c r="B28" s="92">
        <v>3.3696999999999999</v>
      </c>
      <c r="C28" s="118">
        <v>0</v>
      </c>
    </row>
    <row r="29" spans="1:20" x14ac:dyDescent="0.25">
      <c r="A29" s="30" t="s">
        <v>84</v>
      </c>
      <c r="B29" s="108">
        <v>4.3080999999999996</v>
      </c>
      <c r="C29" s="38">
        <v>9.7439999999999992E-3</v>
      </c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7 M19">
    <cfRule type="cellIs" dxfId="8" priority="4" operator="greaterThan">
      <formula>$M$3</formula>
    </cfRule>
  </conditionalFormatting>
  <conditionalFormatting sqref="M16:M18">
    <cfRule type="cellIs" dxfId="7" priority="5" operator="greaterThan">
      <formula>0.45</formula>
    </cfRule>
    <cfRule type="cellIs" priority="6" operator="greaterThan">
      <formula>0.45</formula>
    </cfRule>
  </conditionalFormatting>
  <conditionalFormatting sqref="M20:M22">
    <cfRule type="cellIs" dxfId="6" priority="3" operator="greaterThan">
      <formula>$M$19</formula>
    </cfRule>
  </conditionalFormatting>
  <conditionalFormatting sqref="M24">
    <cfRule type="cellIs" dxfId="0" priority="1" operator="greaterThan">
      <formula>$M$3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2" t="s">
        <v>1</v>
      </c>
      <c r="B1" s="120" t="s">
        <v>0</v>
      </c>
      <c r="C1" s="143" t="s">
        <v>42</v>
      </c>
      <c r="D1" s="132" t="s">
        <v>11</v>
      </c>
      <c r="E1" s="130" t="s">
        <v>30</v>
      </c>
      <c r="F1" s="127" t="s">
        <v>29</v>
      </c>
      <c r="G1" s="135" t="s">
        <v>32</v>
      </c>
      <c r="H1" s="135" t="s">
        <v>27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42" t="s">
        <v>19</v>
      </c>
    </row>
    <row r="2" spans="1:25" s="36" customFormat="1" ht="16.5" thickBot="1" x14ac:dyDescent="0.3">
      <c r="A2" s="122"/>
      <c r="B2" s="121"/>
      <c r="C2" s="137"/>
      <c r="D2" s="133"/>
      <c r="E2" s="134"/>
      <c r="F2" s="122"/>
      <c r="G2" s="121"/>
      <c r="H2" s="121"/>
      <c r="I2" s="122"/>
      <c r="J2" s="129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22"/>
      <c r="V2" s="122"/>
      <c r="W2" s="122"/>
      <c r="X2" s="122"/>
      <c r="Y2" s="122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38">
        <v>32.700000000000003</v>
      </c>
      <c r="F4" s="139">
        <v>90.1</v>
      </c>
      <c r="G4" s="141">
        <v>38.5</v>
      </c>
      <c r="H4" s="141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38"/>
      <c r="F5" s="139"/>
      <c r="G5" s="140">
        <v>41.2</v>
      </c>
      <c r="H5" s="140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38"/>
      <c r="F6" s="139"/>
      <c r="G6" s="140">
        <v>24.3</v>
      </c>
      <c r="H6" s="140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38"/>
      <c r="F7" s="139"/>
      <c r="G7" s="140">
        <v>42.6</v>
      </c>
      <c r="H7" s="140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38"/>
      <c r="F8" s="139"/>
      <c r="G8" s="140">
        <v>31.9</v>
      </c>
      <c r="H8" s="140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38"/>
      <c r="F9" s="139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38"/>
      <c r="F10" s="139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38"/>
      <c r="F11" s="139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38">
        <v>66.599999999999994</v>
      </c>
      <c r="F14" s="139">
        <v>181.3</v>
      </c>
      <c r="G14" s="140">
        <v>107.3</v>
      </c>
      <c r="H14" s="140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38"/>
      <c r="F15" s="139"/>
      <c r="G15" s="141">
        <v>68.7</v>
      </c>
      <c r="H15" s="141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38"/>
      <c r="F16" s="139"/>
      <c r="G16" s="141">
        <v>105</v>
      </c>
      <c r="H16" s="141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38"/>
      <c r="F17" s="139"/>
      <c r="G17" s="140">
        <v>65.599999999999994</v>
      </c>
      <c r="H17" s="140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38"/>
      <c r="F18" s="139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38"/>
      <c r="F19" s="139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38"/>
      <c r="F20" s="139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G8:H8"/>
    <mergeCell ref="G7:H7"/>
    <mergeCell ref="G6:H6"/>
    <mergeCell ref="E4:E11"/>
    <mergeCell ref="F4:F11"/>
    <mergeCell ref="G4:H4"/>
    <mergeCell ref="G5:H5"/>
    <mergeCell ref="T1:T2"/>
    <mergeCell ref="V2:W2"/>
    <mergeCell ref="X2:Y2"/>
    <mergeCell ref="Q1:S1"/>
    <mergeCell ref="N1:P1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E14:E20"/>
    <mergeCell ref="F14:F20"/>
    <mergeCell ref="G17:H17"/>
    <mergeCell ref="G16:H16"/>
    <mergeCell ref="G15:H15"/>
    <mergeCell ref="G14:H14"/>
  </mergeCells>
  <conditionalFormatting sqref="M14:M20">
    <cfRule type="cellIs" dxfId="5" priority="1" operator="greaterThan">
      <formula>$M$13</formula>
    </cfRule>
  </conditionalFormatting>
  <conditionalFormatting sqref="M29:M33">
    <cfRule type="cellIs" dxfId="4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zoomScaleNormal="100" workbookViewId="0">
      <selection activeCell="B15" sqref="B15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42" t="s">
        <v>1</v>
      </c>
      <c r="B1" s="120" t="s">
        <v>0</v>
      </c>
      <c r="C1" s="143" t="s">
        <v>42</v>
      </c>
      <c r="D1" s="132" t="s">
        <v>11</v>
      </c>
      <c r="E1" s="130" t="s">
        <v>30</v>
      </c>
      <c r="F1" s="127" t="s">
        <v>29</v>
      </c>
      <c r="G1" s="135" t="s">
        <v>32</v>
      </c>
      <c r="H1" s="135" t="s">
        <v>27</v>
      </c>
      <c r="I1" s="127" t="s">
        <v>16</v>
      </c>
      <c r="J1" s="128" t="s">
        <v>28</v>
      </c>
      <c r="K1" s="130" t="s">
        <v>2</v>
      </c>
      <c r="L1" s="127"/>
      <c r="M1" s="131"/>
      <c r="N1" s="130" t="s">
        <v>4</v>
      </c>
      <c r="O1" s="127"/>
      <c r="P1" s="131"/>
      <c r="Q1" s="130" t="s">
        <v>3</v>
      </c>
      <c r="R1" s="127"/>
      <c r="S1" s="131"/>
      <c r="T1" s="144" t="s">
        <v>19</v>
      </c>
    </row>
    <row r="2" spans="1:25" s="36" customFormat="1" ht="16.5" thickBot="1" x14ac:dyDescent="0.3">
      <c r="A2" s="122"/>
      <c r="B2" s="121"/>
      <c r="C2" s="137"/>
      <c r="D2" s="133"/>
      <c r="E2" s="134"/>
      <c r="F2" s="122"/>
      <c r="G2" s="121"/>
      <c r="H2" s="121"/>
      <c r="I2" s="122"/>
      <c r="J2" s="129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45"/>
      <c r="V2" s="122"/>
      <c r="W2" s="122"/>
      <c r="X2" s="122"/>
      <c r="Y2" s="122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46">
        <v>0</v>
      </c>
      <c r="F3" s="148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47"/>
      <c r="F4" s="140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38">
        <v>32.700000000000003</v>
      </c>
      <c r="F5" s="139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38"/>
      <c r="F6" s="139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 t="shared" ref="P6" si="1">O6-N6</f>
        <v>0.21000000000000008</v>
      </c>
      <c r="Q6" s="56">
        <v>0.03</v>
      </c>
      <c r="R6" s="56">
        <v>0</v>
      </c>
      <c r="S6" s="41">
        <f t="shared" ref="S6" si="2"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>O8-N8</f>
        <v>0.03</v>
      </c>
      <c r="Q8" s="48">
        <v>0.48</v>
      </c>
      <c r="R8" s="48">
        <v>0</v>
      </c>
      <c r="S8" s="49">
        <f>R8-Q8</f>
        <v>-0.48</v>
      </c>
      <c r="T8" s="35" t="s">
        <v>61</v>
      </c>
    </row>
    <row r="9" spans="1:25" ht="16.5" x14ac:dyDescent="0.25">
      <c r="D9" s="37" t="s">
        <v>41</v>
      </c>
      <c r="E9" s="138">
        <v>66.599999999999994</v>
      </c>
      <c r="F9" s="139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>O9-N9</f>
        <v>0.02</v>
      </c>
      <c r="Q9" s="33">
        <v>0.25</v>
      </c>
      <c r="R9" s="33">
        <v>0</v>
      </c>
      <c r="S9" s="41">
        <f>R9-Q9</f>
        <v>-0.25</v>
      </c>
    </row>
    <row r="10" spans="1:25" s="30" customFormat="1" ht="18.75" x14ac:dyDescent="0.25">
      <c r="C10" s="32"/>
      <c r="D10" s="38" t="s">
        <v>44</v>
      </c>
      <c r="E10" s="138"/>
      <c r="F10" s="139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ref="P10:P14" si="3">O10-N10</f>
        <v>0.01</v>
      </c>
      <c r="Q10" s="33">
        <v>0.15</v>
      </c>
      <c r="R10" s="33">
        <v>0</v>
      </c>
      <c r="S10" s="41">
        <f t="shared" ref="S10:S14" si="4">R10-Q10</f>
        <v>-0.15</v>
      </c>
      <c r="T10" s="72"/>
    </row>
    <row r="11" spans="1:25" ht="18.75" x14ac:dyDescent="0.25">
      <c r="D11" s="38" t="s">
        <v>43</v>
      </c>
      <c r="E11" s="138"/>
      <c r="F11" s="139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3"/>
        <v>0.03</v>
      </c>
      <c r="Q11" s="33">
        <v>0.53</v>
      </c>
      <c r="R11" s="33">
        <v>0</v>
      </c>
      <c r="S11" s="41">
        <f t="shared" si="4"/>
        <v>-0.53</v>
      </c>
    </row>
    <row r="12" spans="1:25" ht="18.75" x14ac:dyDescent="0.25">
      <c r="D12" s="38" t="s">
        <v>48</v>
      </c>
      <c r="E12" s="138"/>
      <c r="F12" s="139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3"/>
        <v>0.01</v>
      </c>
      <c r="Q12" s="33">
        <v>0.19</v>
      </c>
      <c r="R12" s="33">
        <v>0.01</v>
      </c>
      <c r="S12" s="41">
        <f t="shared" si="4"/>
        <v>-0.18</v>
      </c>
      <c r="T12" s="71"/>
    </row>
    <row r="13" spans="1:25" ht="18.75" x14ac:dyDescent="0.25">
      <c r="D13" s="38" t="s">
        <v>45</v>
      </c>
      <c r="E13" s="138"/>
      <c r="F13" s="139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3"/>
        <v>0.02</v>
      </c>
      <c r="Q13" s="33">
        <v>0.36</v>
      </c>
      <c r="R13" s="33">
        <v>0</v>
      </c>
      <c r="S13" s="41">
        <f t="shared" si="4"/>
        <v>-0.36</v>
      </c>
    </row>
    <row r="14" spans="1:25" ht="18.75" x14ac:dyDescent="0.25">
      <c r="D14" s="38" t="s">
        <v>53</v>
      </c>
      <c r="E14" s="138"/>
      <c r="F14" s="139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3"/>
        <v>0.05</v>
      </c>
      <c r="Q14" s="33">
        <v>0.79</v>
      </c>
      <c r="R14" s="33">
        <v>0</v>
      </c>
      <c r="S14" s="41">
        <f t="shared" si="4"/>
        <v>-0.79</v>
      </c>
    </row>
    <row r="15" spans="1:25" ht="16.5" x14ac:dyDescent="0.25">
      <c r="D15" s="37" t="s">
        <v>52</v>
      </c>
      <c r="E15" s="138"/>
      <c r="F15" s="139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>O15-N15</f>
        <v>0.02</v>
      </c>
      <c r="Q15" s="33">
        <v>0.22</v>
      </c>
      <c r="R15" s="33">
        <v>0</v>
      </c>
      <c r="S15" s="41">
        <f>R15-Q15</f>
        <v>-0.22</v>
      </c>
      <c r="T15" s="71"/>
    </row>
    <row r="16" spans="1:25" ht="18.75" x14ac:dyDescent="0.25">
      <c r="D16" s="38" t="s">
        <v>46</v>
      </c>
      <c r="E16" s="138"/>
      <c r="F16" s="139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>O16-N16</f>
        <v>0.06</v>
      </c>
      <c r="Q16" s="33">
        <v>0.81</v>
      </c>
      <c r="R16" s="33">
        <v>0.05</v>
      </c>
      <c r="S16" s="41">
        <f>R16-Q16</f>
        <v>-0.76</v>
      </c>
      <c r="T16" s="71"/>
    </row>
    <row r="17" spans="4:20" ht="18.75" x14ac:dyDescent="0.25">
      <c r="D17" s="38" t="s">
        <v>47</v>
      </c>
      <c r="E17" s="138"/>
      <c r="F17" s="139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>O17-N17</f>
        <v>0.49</v>
      </c>
      <c r="Q17" s="33">
        <v>0.92</v>
      </c>
      <c r="R17" s="33">
        <v>0.01</v>
      </c>
      <c r="S17" s="41">
        <f>R17-Q17</f>
        <v>-0.91</v>
      </c>
      <c r="T17" s="35" t="s">
        <v>63</v>
      </c>
    </row>
    <row r="18" spans="4:20" x14ac:dyDescent="0.25">
      <c r="D18" s="38" t="s">
        <v>54</v>
      </c>
      <c r="E18" s="138"/>
      <c r="F18" s="139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>O18-N18</f>
        <v>0.03</v>
      </c>
      <c r="Q18" s="33">
        <v>0.55000000000000004</v>
      </c>
      <c r="R18" s="33">
        <v>0</v>
      </c>
      <c r="S18" s="41">
        <f>R18-Q18</f>
        <v>-0.55000000000000004</v>
      </c>
      <c r="T18" s="71"/>
    </row>
    <row r="19" spans="4:20" x14ac:dyDescent="0.25">
      <c r="D19" s="38" t="s">
        <v>55</v>
      </c>
      <c r="E19" s="138"/>
      <c r="F19" s="139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>O19-N19</f>
        <v>0.05</v>
      </c>
      <c r="Q19" s="33">
        <v>0.8</v>
      </c>
      <c r="R19" s="33">
        <v>0</v>
      </c>
      <c r="S19" s="41">
        <f>R19-Q19</f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  <mergeCell ref="V2:W2"/>
    <mergeCell ref="X2:Y2"/>
    <mergeCell ref="T1:T2"/>
    <mergeCell ref="D1:D2"/>
    <mergeCell ref="H1:H2"/>
    <mergeCell ref="Q1:S1"/>
    <mergeCell ref="K1:M1"/>
    <mergeCell ref="N1:P1"/>
  </mergeCells>
  <phoneticPr fontId="1" type="noConversion"/>
  <conditionalFormatting sqref="M9:M19">
    <cfRule type="cellIs" dxfId="3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2" priority="1" operator="greaterThan">
      <formula>$M$8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60" t="s">
        <v>6</v>
      </c>
      <c r="B1" s="160" t="s">
        <v>1</v>
      </c>
      <c r="C1" s="155" t="s">
        <v>0</v>
      </c>
      <c r="D1" s="155" t="s">
        <v>11</v>
      </c>
      <c r="E1" s="155" t="s">
        <v>20</v>
      </c>
      <c r="F1" s="156" t="s">
        <v>2</v>
      </c>
      <c r="G1" s="156"/>
      <c r="H1" s="149" t="s">
        <v>4</v>
      </c>
      <c r="I1" s="149"/>
      <c r="J1" s="150" t="s">
        <v>3</v>
      </c>
      <c r="K1" s="150"/>
    </row>
    <row r="2" spans="1:11" ht="15" x14ac:dyDescent="0.2">
      <c r="A2" s="160"/>
      <c r="B2" s="160"/>
      <c r="C2" s="155"/>
      <c r="D2" s="155"/>
      <c r="E2" s="155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51" t="s">
        <v>10</v>
      </c>
      <c r="B3" s="13" t="s">
        <v>9</v>
      </c>
      <c r="C3" s="151">
        <v>1550</v>
      </c>
      <c r="D3" s="151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52"/>
      <c r="B4" s="19" t="s">
        <v>12</v>
      </c>
      <c r="C4" s="152"/>
      <c r="D4" s="154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52"/>
      <c r="B5" s="19" t="s">
        <v>13</v>
      </c>
      <c r="C5" s="152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53"/>
      <c r="B6" s="23" t="s">
        <v>18</v>
      </c>
      <c r="C6" s="153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57" t="s">
        <v>23</v>
      </c>
      <c r="B7" s="3" t="s">
        <v>22</v>
      </c>
      <c r="C7" s="157">
        <v>1320</v>
      </c>
      <c r="D7" s="157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58"/>
      <c r="B8" s="2" t="s">
        <v>12</v>
      </c>
      <c r="C8" s="158"/>
      <c r="D8" s="159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58"/>
      <c r="B9" s="2" t="s">
        <v>13</v>
      </c>
      <c r="C9" s="158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58"/>
      <c r="B10" s="2" t="s">
        <v>17</v>
      </c>
      <c r="C10" s="158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59"/>
      <c r="B11" s="2" t="s">
        <v>18</v>
      </c>
      <c r="C11" s="159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A7:A11"/>
    <mergeCell ref="C7:C11"/>
    <mergeCell ref="D7:D8"/>
    <mergeCell ref="A1:A2"/>
    <mergeCell ref="B1:B2"/>
    <mergeCell ref="C1:C2"/>
    <mergeCell ref="D1:D2"/>
    <mergeCell ref="H1:I1"/>
    <mergeCell ref="J1:K1"/>
    <mergeCell ref="C3:C6"/>
    <mergeCell ref="D3:D4"/>
    <mergeCell ref="A3:A6"/>
    <mergeCell ref="E1:E2"/>
    <mergeCell ref="F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60" t="s">
        <v>6</v>
      </c>
      <c r="B1" s="160" t="s">
        <v>1</v>
      </c>
      <c r="C1" s="155" t="s">
        <v>0</v>
      </c>
      <c r="D1" s="155" t="s">
        <v>11</v>
      </c>
      <c r="E1" s="155" t="s">
        <v>20</v>
      </c>
      <c r="F1" s="156" t="s">
        <v>2</v>
      </c>
      <c r="G1" s="156"/>
      <c r="H1" s="149" t="s">
        <v>4</v>
      </c>
      <c r="I1" s="149"/>
      <c r="J1" s="150" t="s">
        <v>3</v>
      </c>
      <c r="K1" s="150"/>
    </row>
    <row r="2" spans="1:11" ht="15.75" thickBot="1" x14ac:dyDescent="0.3">
      <c r="A2" s="160"/>
      <c r="B2" s="160"/>
      <c r="C2" s="155"/>
      <c r="D2" s="155"/>
      <c r="E2" s="155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57" t="s">
        <v>23</v>
      </c>
      <c r="B3" s="3" t="s">
        <v>22</v>
      </c>
      <c r="C3" s="157">
        <v>1320</v>
      </c>
      <c r="D3" s="157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58"/>
      <c r="B4" s="2" t="s">
        <v>12</v>
      </c>
      <c r="C4" s="158"/>
      <c r="D4" s="159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58"/>
      <c r="B5" s="2" t="s">
        <v>13</v>
      </c>
      <c r="C5" s="158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58"/>
      <c r="B6" s="2" t="s">
        <v>17</v>
      </c>
      <c r="C6" s="158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59"/>
      <c r="B7" s="2" t="s">
        <v>18</v>
      </c>
      <c r="C7" s="159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532</vt:lpstr>
      <vt:lpstr>600</vt:lpstr>
      <vt:lpstr>700</vt:lpstr>
      <vt:lpstr>800</vt:lpstr>
      <vt:lpstr>1064</vt:lpstr>
      <vt:lpstr>Amorphous phase</vt:lpstr>
      <vt:lpstr>Crystalline phase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2026-03-24T10:11:14Z</dcterms:modified>
</cp:coreProperties>
</file>