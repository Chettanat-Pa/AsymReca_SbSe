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024-ILLUSTRIOUS\My Drive (61050734@kmitl.ac.th)\AsymReca_SbSe\"/>
    </mc:Choice>
  </mc:AlternateContent>
  <xr:revisionPtr revIDLastSave="0" documentId="8_{91ECDA47-3E27-4E3E-A4DD-129882C5C449}" xr6:coauthVersionLast="47" xr6:coauthVersionMax="47" xr10:uidLastSave="{00000000-0000-0000-0000-000000000000}"/>
  <bookViews>
    <workbookView xWindow="-28200" yWindow="5265" windowWidth="28320" windowHeight="16440" activeTab="1" xr2:uid="{00000000-000D-0000-FFFF-FFFF00000000}"/>
  </bookViews>
  <sheets>
    <sheet name="532_back" sheetId="15" r:id="rId1"/>
    <sheet name="1064_back" sheetId="13" r:id="rId2"/>
    <sheet name="1550_back" sheetId="14" r:id="rId3"/>
    <sheet name="532" sheetId="8" r:id="rId4"/>
    <sheet name="600" sheetId="10" r:id="rId5"/>
    <sheet name="700" sheetId="11" r:id="rId6"/>
    <sheet name="800" sheetId="12" r:id="rId7"/>
    <sheet name="1064" sheetId="9" r:id="rId8"/>
    <sheet name="Amorphous phase" sheetId="7" state="hidden" r:id="rId9"/>
    <sheet name="Crystalline" sheetId="4" r:id="rId10"/>
    <sheet name="Sheet2" sheetId="5" state="hidden" r:id="rId11"/>
    <sheet name="Sheet3" sheetId="6" state="hidden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13" l="1"/>
  <c r="O34" i="13"/>
  <c r="L34" i="13"/>
  <c r="I34" i="13"/>
  <c r="H34" i="13"/>
  <c r="R33" i="13"/>
  <c r="O33" i="13"/>
  <c r="O31" i="13"/>
  <c r="O30" i="13"/>
  <c r="O29" i="13"/>
  <c r="O28" i="13"/>
  <c r="O27" i="13"/>
  <c r="O25" i="13"/>
  <c r="O24" i="13"/>
  <c r="O23" i="13"/>
  <c r="O22" i="13"/>
  <c r="O21" i="13"/>
  <c r="O20" i="13"/>
  <c r="O19" i="13"/>
  <c r="L33" i="13"/>
  <c r="I33" i="13"/>
  <c r="H33" i="13"/>
  <c r="R3" i="14"/>
  <c r="O3" i="14"/>
  <c r="L3" i="14"/>
  <c r="I3" i="14"/>
  <c r="H3" i="14"/>
  <c r="R4" i="14"/>
  <c r="O4" i="14"/>
  <c r="L4" i="14"/>
  <c r="H4" i="14"/>
  <c r="I4" i="14" s="1"/>
  <c r="H31" i="13"/>
  <c r="L27" i="13"/>
  <c r="L28" i="13"/>
  <c r="L29" i="13"/>
  <c r="L30" i="13"/>
  <c r="L31" i="13"/>
  <c r="R27" i="13"/>
  <c r="R28" i="13"/>
  <c r="R29" i="13"/>
  <c r="R30" i="13"/>
  <c r="R31" i="13"/>
  <c r="H30" i="13"/>
  <c r="H29" i="13"/>
  <c r="H28" i="13"/>
  <c r="H27" i="13"/>
  <c r="H25" i="13"/>
  <c r="H24" i="13"/>
  <c r="H23" i="13"/>
  <c r="H22" i="13"/>
  <c r="H21" i="13"/>
  <c r="H19" i="13"/>
  <c r="L23" i="13"/>
  <c r="R23" i="13"/>
  <c r="L24" i="13"/>
  <c r="R24" i="13"/>
  <c r="L25" i="13"/>
  <c r="R25" i="13"/>
  <c r="Q24" i="15"/>
  <c r="Q25" i="15"/>
  <c r="N24" i="15"/>
  <c r="N25" i="15"/>
  <c r="K24" i="15"/>
  <c r="K25" i="15"/>
  <c r="Q23" i="15"/>
  <c r="N23" i="15"/>
  <c r="K23" i="15"/>
  <c r="G25" i="15"/>
  <c r="G24" i="15"/>
  <c r="N32" i="15"/>
  <c r="Q32" i="15"/>
  <c r="K32" i="15"/>
  <c r="Q31" i="15"/>
  <c r="N31" i="15"/>
  <c r="K31" i="15"/>
  <c r="Q30" i="15"/>
  <c r="N30" i="15"/>
  <c r="K30" i="15"/>
  <c r="Q29" i="15"/>
  <c r="N29" i="15"/>
  <c r="K29" i="15"/>
  <c r="Q28" i="15"/>
  <c r="N28" i="15"/>
  <c r="K28" i="15"/>
  <c r="Q27" i="15"/>
  <c r="N27" i="15"/>
  <c r="K27" i="15"/>
  <c r="G20" i="15"/>
  <c r="G17" i="15"/>
  <c r="G18" i="15"/>
  <c r="G15" i="15"/>
  <c r="G14" i="15"/>
  <c r="G13" i="15"/>
  <c r="G12" i="15"/>
  <c r="G10" i="15"/>
  <c r="G9" i="15"/>
  <c r="G8" i="15"/>
  <c r="G7" i="15"/>
  <c r="G6" i="15"/>
  <c r="G5" i="15"/>
  <c r="Q4" i="15"/>
  <c r="N4" i="15"/>
  <c r="K4" i="15"/>
  <c r="G4" i="15"/>
  <c r="H4" i="15" s="1"/>
  <c r="G3" i="15"/>
  <c r="H3" i="15" s="1"/>
  <c r="Q22" i="15"/>
  <c r="N22" i="15"/>
  <c r="K22" i="15"/>
  <c r="Q21" i="15"/>
  <c r="N21" i="15"/>
  <c r="K21" i="15"/>
  <c r="Q20" i="15"/>
  <c r="N20" i="15"/>
  <c r="K20" i="15"/>
  <c r="Q19" i="15"/>
  <c r="N19" i="15"/>
  <c r="K19" i="15"/>
  <c r="Q18" i="15"/>
  <c r="N18" i="15"/>
  <c r="K18" i="15"/>
  <c r="Q17" i="15"/>
  <c r="N17" i="15"/>
  <c r="K17" i="15"/>
  <c r="Q15" i="15"/>
  <c r="N15" i="15"/>
  <c r="K15" i="15"/>
  <c r="Q14" i="15"/>
  <c r="N14" i="15"/>
  <c r="K14" i="15"/>
  <c r="Q13" i="15"/>
  <c r="N13" i="15"/>
  <c r="K13" i="15"/>
  <c r="Q12" i="15"/>
  <c r="N12" i="15"/>
  <c r="K12" i="15"/>
  <c r="Q10" i="15"/>
  <c r="N10" i="15"/>
  <c r="K10" i="15"/>
  <c r="Q9" i="15"/>
  <c r="N9" i="15"/>
  <c r="K9" i="15"/>
  <c r="Q8" i="15"/>
  <c r="N8" i="15"/>
  <c r="K8" i="15"/>
  <c r="Q7" i="15"/>
  <c r="N7" i="15"/>
  <c r="K7" i="15"/>
  <c r="Q6" i="15"/>
  <c r="N6" i="15"/>
  <c r="K6" i="15"/>
  <c r="Q5" i="15"/>
  <c r="N5" i="15"/>
  <c r="K5" i="15"/>
  <c r="Q3" i="15"/>
  <c r="N3" i="15"/>
  <c r="K3" i="15"/>
  <c r="R22" i="13"/>
  <c r="L22" i="13"/>
  <c r="R11" i="13"/>
  <c r="O11" i="13"/>
  <c r="L11" i="13"/>
  <c r="R4" i="13"/>
  <c r="R5" i="13"/>
  <c r="R6" i="13"/>
  <c r="O4" i="13"/>
  <c r="O5" i="13"/>
  <c r="O6" i="13"/>
  <c r="L4" i="13"/>
  <c r="L5" i="13"/>
  <c r="L6" i="13"/>
  <c r="R19" i="13"/>
  <c r="R20" i="13"/>
  <c r="R21" i="13"/>
  <c r="L19" i="13"/>
  <c r="L20" i="13"/>
  <c r="L21" i="13"/>
  <c r="H7" i="13"/>
  <c r="H8" i="13"/>
  <c r="H9" i="13"/>
  <c r="H12" i="13"/>
  <c r="H14" i="13"/>
  <c r="H3" i="13"/>
  <c r="G15" i="13"/>
  <c r="H15" i="13" s="1"/>
  <c r="S24" i="9"/>
  <c r="P24" i="9"/>
  <c r="M24" i="9"/>
  <c r="J24" i="9"/>
  <c r="H24" i="9"/>
  <c r="P3" i="9"/>
  <c r="L8" i="13"/>
  <c r="O8" i="13"/>
  <c r="R8" i="13"/>
  <c r="I8" i="13"/>
  <c r="O9" i="13"/>
  <c r="R9" i="13"/>
  <c r="L9" i="13"/>
  <c r="I9" i="13"/>
  <c r="R12" i="13"/>
  <c r="O12" i="13"/>
  <c r="L12" i="13"/>
  <c r="I7" i="13"/>
  <c r="I3" i="13"/>
  <c r="I12" i="13"/>
  <c r="I14" i="13"/>
  <c r="R7" i="13"/>
  <c r="R14" i="13"/>
  <c r="R15" i="13"/>
  <c r="R16" i="13"/>
  <c r="R17" i="13"/>
  <c r="O7" i="13"/>
  <c r="O14" i="13"/>
  <c r="O15" i="13"/>
  <c r="O16" i="13"/>
  <c r="O17" i="13"/>
  <c r="L7" i="13"/>
  <c r="L14" i="13"/>
  <c r="L15" i="13"/>
  <c r="L16" i="13"/>
  <c r="L17" i="13"/>
  <c r="R3" i="13"/>
  <c r="O3" i="13"/>
  <c r="L3" i="13"/>
  <c r="H25" i="9"/>
  <c r="S25" i="9"/>
  <c r="P25" i="9"/>
  <c r="M25" i="9"/>
  <c r="S20" i="8"/>
  <c r="P20" i="8"/>
  <c r="M20" i="8"/>
  <c r="H20" i="8"/>
  <c r="J22" i="8"/>
  <c r="H22" i="8"/>
  <c r="S22" i="8"/>
  <c r="P22" i="8"/>
  <c r="M22" i="8"/>
  <c r="S21" i="8"/>
  <c r="P21" i="8"/>
  <c r="M21" i="8"/>
  <c r="H21" i="8"/>
  <c r="M4" i="9"/>
  <c r="M5" i="9"/>
  <c r="M6" i="9"/>
  <c r="M19" i="9"/>
  <c r="M20" i="9"/>
  <c r="M21" i="9"/>
  <c r="M22" i="9"/>
  <c r="M8" i="9"/>
  <c r="S11" i="12"/>
  <c r="S3" i="12"/>
  <c r="S4" i="12"/>
  <c r="S5" i="12"/>
  <c r="S6" i="12"/>
  <c r="S7" i="12"/>
  <c r="S10" i="12"/>
  <c r="P11" i="12"/>
  <c r="P3" i="12"/>
  <c r="P4" i="12"/>
  <c r="P5" i="12"/>
  <c r="P6" i="12"/>
  <c r="P7" i="12"/>
  <c r="P10" i="12"/>
  <c r="M11" i="12"/>
  <c r="M3" i="12"/>
  <c r="M4" i="12"/>
  <c r="M5" i="12"/>
  <c r="M6" i="12"/>
  <c r="M7" i="12"/>
  <c r="M10" i="12"/>
  <c r="H11" i="12"/>
  <c r="H10" i="12"/>
  <c r="H5" i="12"/>
  <c r="H6" i="12"/>
  <c r="H7" i="12"/>
  <c r="H4" i="12"/>
  <c r="J3" i="12"/>
  <c r="H3" i="12"/>
  <c r="P12" i="11"/>
  <c r="S12" i="11"/>
  <c r="S11" i="11"/>
  <c r="P11" i="11"/>
  <c r="M12" i="11"/>
  <c r="M11" i="11"/>
  <c r="H12" i="11"/>
  <c r="H11" i="11"/>
  <c r="S4" i="11"/>
  <c r="S5" i="11"/>
  <c r="S6" i="11"/>
  <c r="S7" i="11"/>
  <c r="S8" i="11"/>
  <c r="S9" i="11"/>
  <c r="S3" i="11"/>
  <c r="P4" i="11"/>
  <c r="P5" i="11"/>
  <c r="P6" i="11"/>
  <c r="P7" i="11"/>
  <c r="P8" i="11"/>
  <c r="P9" i="11"/>
  <c r="P3" i="11"/>
  <c r="M4" i="11"/>
  <c r="M5" i="11"/>
  <c r="M6" i="11"/>
  <c r="M7" i="11"/>
  <c r="M8" i="11"/>
  <c r="M9" i="11"/>
  <c r="M3" i="11"/>
  <c r="H5" i="11"/>
  <c r="H6" i="11"/>
  <c r="H7" i="11"/>
  <c r="H8" i="11"/>
  <c r="H9" i="11"/>
  <c r="H4" i="11"/>
  <c r="S4" i="10"/>
  <c r="S5" i="10"/>
  <c r="S6" i="10"/>
  <c r="S7" i="10"/>
  <c r="S8" i="10"/>
  <c r="S9" i="10"/>
  <c r="S10" i="10"/>
  <c r="S11" i="10"/>
  <c r="S13" i="10"/>
  <c r="S14" i="10"/>
  <c r="S15" i="10"/>
  <c r="S16" i="10"/>
  <c r="S17" i="10"/>
  <c r="S3" i="10"/>
  <c r="P4" i="10"/>
  <c r="P5" i="10"/>
  <c r="P6" i="10"/>
  <c r="P7" i="10"/>
  <c r="P8" i="10"/>
  <c r="P9" i="10"/>
  <c r="P10" i="10"/>
  <c r="P11" i="10"/>
  <c r="P13" i="10"/>
  <c r="P14" i="10"/>
  <c r="P15" i="10"/>
  <c r="P16" i="10"/>
  <c r="P17" i="10"/>
  <c r="P3" i="10"/>
  <c r="M13" i="10"/>
  <c r="M14" i="10"/>
  <c r="M15" i="10"/>
  <c r="M16" i="10"/>
  <c r="M17" i="10"/>
  <c r="M4" i="10"/>
  <c r="M5" i="10"/>
  <c r="M6" i="10"/>
  <c r="M7" i="10"/>
  <c r="M8" i="10"/>
  <c r="M9" i="10"/>
  <c r="M10" i="10"/>
  <c r="M11" i="10"/>
  <c r="M3" i="10"/>
  <c r="H3" i="11"/>
  <c r="H11" i="10"/>
  <c r="H10" i="10"/>
  <c r="H9" i="10"/>
  <c r="H8" i="10"/>
  <c r="H7" i="10"/>
  <c r="H6" i="10"/>
  <c r="H5" i="10"/>
  <c r="H4" i="10"/>
  <c r="H3" i="10"/>
  <c r="S17" i="9"/>
  <c r="P17" i="9"/>
  <c r="M17" i="9"/>
  <c r="H17" i="9"/>
  <c r="S16" i="9"/>
  <c r="P16" i="9"/>
  <c r="M16" i="9"/>
  <c r="H16" i="9"/>
  <c r="S15" i="9"/>
  <c r="P15" i="9"/>
  <c r="M15" i="9"/>
  <c r="H15" i="9"/>
  <c r="S14" i="9"/>
  <c r="P14" i="9"/>
  <c r="M14" i="9"/>
  <c r="H14" i="9"/>
  <c r="S13" i="9"/>
  <c r="P13" i="9"/>
  <c r="M13" i="9"/>
  <c r="H13" i="9"/>
  <c r="S11" i="9"/>
  <c r="P11" i="9"/>
  <c r="M11" i="9"/>
  <c r="H11" i="9"/>
  <c r="S10" i="9"/>
  <c r="P10" i="9"/>
  <c r="M10" i="9"/>
  <c r="H10" i="9"/>
  <c r="S9" i="9"/>
  <c r="P9" i="9"/>
  <c r="M9" i="9"/>
  <c r="S8" i="9"/>
  <c r="P8" i="9"/>
  <c r="H8" i="9"/>
  <c r="S22" i="9"/>
  <c r="P22" i="9"/>
  <c r="H22" i="9"/>
  <c r="S21" i="9"/>
  <c r="P21" i="9"/>
  <c r="H21" i="9"/>
  <c r="S20" i="9"/>
  <c r="P20" i="9"/>
  <c r="H20" i="9"/>
  <c r="S19" i="9"/>
  <c r="P19" i="9"/>
  <c r="H19" i="9"/>
  <c r="S6" i="9"/>
  <c r="P6" i="9"/>
  <c r="H6" i="9"/>
  <c r="S5" i="9"/>
  <c r="P5" i="9"/>
  <c r="H5" i="9"/>
  <c r="S4" i="9"/>
  <c r="P4" i="9"/>
  <c r="H4" i="9"/>
  <c r="S3" i="9"/>
  <c r="M3" i="9"/>
  <c r="H3" i="9"/>
  <c r="J3" i="9" s="1"/>
  <c r="S14" i="8"/>
  <c r="S15" i="8"/>
  <c r="S16" i="8"/>
  <c r="S17" i="8"/>
  <c r="S18" i="8"/>
  <c r="P14" i="8"/>
  <c r="P15" i="8"/>
  <c r="P16" i="8"/>
  <c r="P17" i="8"/>
  <c r="P18" i="8"/>
  <c r="M14" i="8"/>
  <c r="M15" i="8"/>
  <c r="M16" i="8"/>
  <c r="M17" i="8"/>
  <c r="M18" i="8"/>
  <c r="S13" i="8"/>
  <c r="P13" i="8"/>
  <c r="M13" i="8"/>
  <c r="H14" i="8"/>
  <c r="H15" i="8"/>
  <c r="H16" i="8"/>
  <c r="H17" i="8"/>
  <c r="H18" i="8"/>
  <c r="H13" i="8"/>
  <c r="S11" i="8"/>
  <c r="P11" i="8"/>
  <c r="M11" i="8"/>
  <c r="S10" i="8"/>
  <c r="P10" i="8"/>
  <c r="M10" i="8"/>
  <c r="H10" i="8"/>
  <c r="H11" i="8"/>
  <c r="S8" i="8"/>
  <c r="S9" i="8"/>
  <c r="P8" i="8"/>
  <c r="P9" i="8"/>
  <c r="M8" i="8"/>
  <c r="M9" i="8"/>
  <c r="H9" i="8"/>
  <c r="H8" i="8"/>
  <c r="S4" i="8"/>
  <c r="S5" i="8"/>
  <c r="S6" i="8"/>
  <c r="S7" i="8"/>
  <c r="P4" i="8"/>
  <c r="P5" i="8"/>
  <c r="P6" i="8"/>
  <c r="P7" i="8"/>
  <c r="M4" i="8"/>
  <c r="M5" i="8"/>
  <c r="M6" i="8"/>
  <c r="M7" i="8"/>
  <c r="H6" i="8"/>
  <c r="J7" i="8"/>
  <c r="H7" i="8"/>
  <c r="H5" i="8"/>
  <c r="H4" i="8"/>
  <c r="I15" i="13" l="1"/>
  <c r="G16" i="13"/>
  <c r="H16" i="13" s="1"/>
  <c r="S3" i="8"/>
  <c r="P3" i="8"/>
  <c r="M3" i="8"/>
  <c r="H3" i="8"/>
  <c r="J3" i="8" s="1"/>
  <c r="S13" i="7"/>
  <c r="S14" i="7"/>
  <c r="S15" i="7"/>
  <c r="S16" i="7"/>
  <c r="S17" i="7"/>
  <c r="S18" i="7"/>
  <c r="S19" i="7"/>
  <c r="S20" i="7"/>
  <c r="P13" i="7"/>
  <c r="P14" i="7"/>
  <c r="P15" i="7"/>
  <c r="P16" i="7"/>
  <c r="P17" i="7"/>
  <c r="P18" i="7"/>
  <c r="P19" i="7"/>
  <c r="P20" i="7"/>
  <c r="M13" i="7"/>
  <c r="M14" i="7"/>
  <c r="M15" i="7"/>
  <c r="M16" i="7"/>
  <c r="M17" i="7"/>
  <c r="M18" i="7"/>
  <c r="M19" i="7"/>
  <c r="M20" i="7"/>
  <c r="J13" i="7"/>
  <c r="H13" i="7"/>
  <c r="M3" i="7"/>
  <c r="P3" i="7"/>
  <c r="S3" i="7"/>
  <c r="S9" i="7"/>
  <c r="S10" i="7"/>
  <c r="S11" i="7"/>
  <c r="P9" i="7"/>
  <c r="P10" i="7"/>
  <c r="P11" i="7"/>
  <c r="M9" i="7"/>
  <c r="M10" i="7"/>
  <c r="M11" i="7"/>
  <c r="S5" i="7"/>
  <c r="S6" i="7"/>
  <c r="S7" i="7"/>
  <c r="S8" i="7"/>
  <c r="P5" i="7"/>
  <c r="P6" i="7"/>
  <c r="P7" i="7"/>
  <c r="P8" i="7"/>
  <c r="M5" i="7"/>
  <c r="M6" i="7"/>
  <c r="M7" i="7"/>
  <c r="M8" i="7"/>
  <c r="M4" i="7"/>
  <c r="P4" i="7"/>
  <c r="S4" i="7"/>
  <c r="H3" i="7"/>
  <c r="J3" i="7" s="1"/>
  <c r="S19" i="4"/>
  <c r="P19" i="4"/>
  <c r="M19" i="4"/>
  <c r="S18" i="4"/>
  <c r="P18" i="4"/>
  <c r="M18" i="4"/>
  <c r="S14" i="4"/>
  <c r="P14" i="4"/>
  <c r="M14" i="4"/>
  <c r="H14" i="4"/>
  <c r="S15" i="4"/>
  <c r="P15" i="4"/>
  <c r="M15" i="4"/>
  <c r="P8" i="4"/>
  <c r="S6" i="4"/>
  <c r="S3" i="4"/>
  <c r="S4" i="4"/>
  <c r="P6" i="4"/>
  <c r="P3" i="4"/>
  <c r="P4" i="4"/>
  <c r="S8" i="4"/>
  <c r="S10" i="4"/>
  <c r="S11" i="4"/>
  <c r="S12" i="4"/>
  <c r="S13" i="4"/>
  <c r="S16" i="4"/>
  <c r="S17" i="4"/>
  <c r="S9" i="4"/>
  <c r="P10" i="4"/>
  <c r="P11" i="4"/>
  <c r="P12" i="4"/>
  <c r="P13" i="4"/>
  <c r="P16" i="4"/>
  <c r="P17" i="4"/>
  <c r="P9" i="4"/>
  <c r="M9" i="4"/>
  <c r="M10" i="4"/>
  <c r="M11" i="4"/>
  <c r="M12" i="4"/>
  <c r="M13" i="4"/>
  <c r="M16" i="4"/>
  <c r="M17" i="4"/>
  <c r="M8" i="4"/>
  <c r="M6" i="4"/>
  <c r="M3" i="4"/>
  <c r="M4" i="4"/>
  <c r="S5" i="4"/>
  <c r="P5" i="4"/>
  <c r="M5" i="4"/>
  <c r="H12" i="4"/>
  <c r="H9" i="4"/>
  <c r="H10" i="4"/>
  <c r="H13" i="4"/>
  <c r="H4" i="4"/>
  <c r="J4" i="4" s="1"/>
  <c r="H3" i="4"/>
  <c r="J3" i="4" s="1"/>
  <c r="H6" i="4"/>
  <c r="H8" i="4"/>
  <c r="H17" i="4"/>
  <c r="E7" i="6"/>
  <c r="E6" i="6"/>
  <c r="E5" i="6"/>
  <c r="E11" i="5"/>
  <c r="E10" i="5"/>
  <c r="E9" i="5"/>
  <c r="E6" i="5"/>
  <c r="E5" i="5"/>
  <c r="G17" i="13" l="1"/>
  <c r="I16" i="13"/>
  <c r="I17" i="13" l="1"/>
  <c r="H1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Chettanat Padungatthakij</author>
  </authors>
  <commentList>
    <comment ref="D17" authorId="0" shapeId="0" xr:uid="{7E2AE76A-5A16-4F32-8412-27CA6A6944AD}">
      <text>
        <r>
          <rPr>
            <sz val="9"/>
            <color indexed="81"/>
            <rFont val="Tahoma"/>
            <family val="2"/>
          </rPr>
          <t>Middle layer TiO</t>
        </r>
      </text>
    </comment>
  </commentList>
</comments>
</file>

<file path=xl/sharedStrings.xml><?xml version="1.0" encoding="utf-8"?>
<sst xmlns="http://schemas.openxmlformats.org/spreadsheetml/2006/main" count="575" uniqueCount="177">
  <si>
    <t>Wavelength (nm)</t>
  </si>
  <si>
    <t>Reference</t>
  </si>
  <si>
    <t>Transmission</t>
  </si>
  <si>
    <t>Reflection</t>
  </si>
  <si>
    <t>Absorption</t>
  </si>
  <si>
    <t>-</t>
  </si>
  <si>
    <t>Application</t>
  </si>
  <si>
    <t>ON</t>
  </si>
  <si>
    <t>OFF</t>
  </si>
  <si>
    <t>[5]</t>
  </si>
  <si>
    <t>Optical Limiter</t>
  </si>
  <si>
    <t>Layout (nm)</t>
  </si>
  <si>
    <t>recreate</t>
  </si>
  <si>
    <t>redesign #1</t>
  </si>
  <si>
    <t>N=5 [CDC] M=4</t>
  </si>
  <si>
    <t>N=4 [CDC] M=3</t>
  </si>
  <si>
    <t>tD</t>
  </si>
  <si>
    <t>redesign #2</t>
  </si>
  <si>
    <t>redesign #3</t>
  </si>
  <si>
    <t>Note</t>
  </si>
  <si>
    <t>total VO2 (nm)</t>
  </si>
  <si>
    <t>N=4 [CD] M=3</t>
  </si>
  <si>
    <t>[6]</t>
  </si>
  <si>
    <t>Optical Diode</t>
  </si>
  <si>
    <r>
      <t>VO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/Au(10)</t>
    </r>
  </si>
  <si>
    <t>N=4 [CDC] M=2</t>
  </si>
  <si>
    <r>
      <t>Ag(5)/VO</t>
    </r>
    <r>
      <rPr>
        <b/>
        <vertAlign val="subscript"/>
        <sz val="11"/>
        <color theme="1"/>
        <rFont val="Helvetica"/>
      </rPr>
      <t>2</t>
    </r>
  </si>
  <si>
    <r>
      <t>Total 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(nm)</t>
    </r>
  </si>
  <si>
    <t>Total cavity thickness(nm)</t>
  </si>
  <si>
    <t>tL</t>
  </si>
  <si>
    <t>tH/2</t>
  </si>
  <si>
    <r>
      <t>M1 [Sb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</si>
  <si>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 (nm)</t>
  </si>
  <si>
    <t>Amorphous</t>
  </si>
  <si>
    <t>Incident -&gt; H/2  [H/2 L H/2]^M -&gt; [CDC] [H/2 L H/2]^M H/2 -&gt; Substrate</t>
  </si>
  <si>
    <t>Crystalline</t>
  </si>
  <si>
    <t>Amo</t>
  </si>
  <si>
    <t>Cry</t>
  </si>
  <si>
    <r>
      <t>M2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</si>
  <si>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</si>
  <si>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N2</t>
    </r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</si>
  <si>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N1</t>
    </r>
  </si>
  <si>
    <t>Resonance phase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</si>
  <si>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</si>
  <si>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</si>
  <si>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</si>
  <si>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</si>
  <si>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M1 [Sb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</si>
  <si>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</si>
  <si>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t>ΔT</t>
  </si>
  <si>
    <t>ΔA</t>
  </si>
  <si>
    <t>ΔR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</si>
  <si>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</si>
  <si>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</si>
  <si>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M2 [Si3N4/Sb2Se3/Si3N4] N2</t>
  </si>
  <si>
    <t>M3 [Si3N4/Sb2Se3/Si3N4] N3</t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</si>
  <si>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</si>
  <si>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</si>
  <si>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</si>
  <si>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M1 [Si3N4/Sb2Se3/Si3N4] N3</t>
  </si>
  <si>
    <t>M2 [Si3N4/Sb2Se3/Si3N4] N3</t>
  </si>
  <si>
    <t>HWOT</t>
  </si>
  <si>
    <t>same t</t>
  </si>
  <si>
    <t>10x thicker Sb2Se3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</si>
  <si>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</si>
  <si>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N3</t>
    </r>
  </si>
  <si>
    <r>
      <t>Total 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(nm)</t>
    </r>
  </si>
  <si>
    <t>N</t>
  </si>
  <si>
    <t>M</t>
  </si>
  <si>
    <t>Central layer ayout</t>
  </si>
  <si>
    <t>Si3N4/Sb2Se3</t>
  </si>
  <si>
    <t>Sb2Se3/Si3N4</t>
  </si>
  <si>
    <t>Peak absorption</t>
  </si>
  <si>
    <t>520-630</t>
  </si>
  <si>
    <t>SbSe</t>
  </si>
  <si>
    <t>SbSe/Si3N4</t>
  </si>
  <si>
    <t>[H/2] SbSe/Si3N4 [H/2]</t>
  </si>
  <si>
    <t>Si3N4/SbSe/Si3N4</t>
  </si>
  <si>
    <t>SbSe/Si3N</t>
  </si>
  <si>
    <t>Si3N4/SbSe/Si3N</t>
  </si>
  <si>
    <t>amo</t>
  </si>
  <si>
    <t>cry</t>
  </si>
  <si>
    <t>n</t>
  </si>
  <si>
    <t>k</t>
  </si>
  <si>
    <t>Si3N4/SbSe</t>
  </si>
  <si>
    <t>Al2O3/tD/SbSe/MgF2</t>
  </si>
  <si>
    <t>tH=75.07</t>
  </si>
  <si>
    <t>tH=41.1</t>
  </si>
  <si>
    <t>SP1</t>
  </si>
  <si>
    <t>SP2</t>
  </si>
  <si>
    <t>tL=38.9</t>
  </si>
  <si>
    <t>SP0 (Q/H/Q)</t>
  </si>
  <si>
    <t>Al2O3/SbSe/MgF2</t>
  </si>
  <si>
    <t>SP0</t>
  </si>
  <si>
    <t>Si3N4/SbSe/MgF2</t>
  </si>
  <si>
    <t>Si3N4/tD/SbSe/MgF2</t>
  </si>
  <si>
    <t>tH=133.23</t>
  </si>
  <si>
    <t>MaxT shifted to 1302</t>
  </si>
  <si>
    <t>tH</t>
  </si>
  <si>
    <t>TiO/SbSe/SiN</t>
  </si>
  <si>
    <t>Broadband</t>
  </si>
  <si>
    <t>SiN/SbSe/AlO</t>
  </si>
  <si>
    <t>AlO/SbSe/MgF</t>
  </si>
  <si>
    <t>SiO/SbSe/MgF</t>
  </si>
  <si>
    <t>SbSe/Si/TiO</t>
  </si>
  <si>
    <t>SbSe/TiO</t>
  </si>
  <si>
    <t>non-QWOT</t>
  </si>
  <si>
    <t>nS=SiO2</t>
  </si>
  <si>
    <t>nS=nAir</t>
  </si>
  <si>
    <t>Fabry-Perot</t>
  </si>
  <si>
    <t>(SbSe/MgF/SbSe)^1</t>
  </si>
  <si>
    <t>Reference Wavelength (nm)</t>
  </si>
  <si>
    <t>Condition</t>
  </si>
  <si>
    <t>λ = 1064</t>
  </si>
  <si>
    <t>Substrate = 3-mm SiO2_fused</t>
  </si>
  <si>
    <t>SbSe (nm)</t>
  </si>
  <si>
    <t>Total SbSe</t>
  </si>
  <si>
    <t>(SbSe/MgF/SbSe)^2</t>
  </si>
  <si>
    <t>(SbSe/MgF/SbSe)^4</t>
  </si>
  <si>
    <t>(SbSe/MgF/SbSe)^8</t>
  </si>
  <si>
    <t>(SbSe/MgF/SbSe)^6</t>
  </si>
  <si>
    <t>Central layer layout</t>
  </si>
  <si>
    <t>SbSe(H)/SiO</t>
  </si>
  <si>
    <t>SbSe(H)/MgF</t>
  </si>
  <si>
    <t>(H) = HWOT</t>
  </si>
  <si>
    <t>SbSe/SiN</t>
  </si>
  <si>
    <t>SbSe/MgF/TiO</t>
  </si>
  <si>
    <t>(SbSe/MgF/SbSe)^5</t>
  </si>
  <si>
    <t>MgF2</t>
  </si>
  <si>
    <t>SiO2</t>
  </si>
  <si>
    <t>Al2O3</t>
  </si>
  <si>
    <t>Si3N4</t>
  </si>
  <si>
    <t>TiO2</t>
  </si>
  <si>
    <t>Sb2Se3_amo</t>
  </si>
  <si>
    <t>Sb2Se3_cry</t>
  </si>
  <si>
    <t>Si_cry_300</t>
  </si>
  <si>
    <t>SbSe(H)</t>
  </si>
  <si>
    <t>Edge filter</t>
  </si>
  <si>
    <t>L = MgF2</t>
  </si>
  <si>
    <t>U = [H/2 L H/2]</t>
  </si>
  <si>
    <t>H = TiO2</t>
  </si>
  <si>
    <t>N1 SbSe/TiO M0</t>
  </si>
  <si>
    <t>N2 SbSe/TiO M0</t>
  </si>
  <si>
    <t>N2 SbSe/TiO M1</t>
  </si>
  <si>
    <t>N3 SbSe/TiO M0</t>
  </si>
  <si>
    <t>N3 SbSe/TiO M1</t>
  </si>
  <si>
    <t>N3 SbSe/TiO M2</t>
  </si>
  <si>
    <t>N1 SbSe/TiO/SbSe M0</t>
  </si>
  <si>
    <t>N2 SbSe/TiO/SbSe M0</t>
  </si>
  <si>
    <t>N2 SbSe/TiO/SbSe M1</t>
  </si>
  <si>
    <t>N1 SbSe/MgF/SbSe M0</t>
  </si>
  <si>
    <t>N2 SbSe/MgF/SbSe M0</t>
  </si>
  <si>
    <t>N2 SbSe/MgF/SbSe M1</t>
  </si>
  <si>
    <t>N1 MgF/SbSe M0</t>
  </si>
  <si>
    <t>N2 MgF/SbSe M0</t>
  </si>
  <si>
    <t>N2 MgF/SbSe M1</t>
  </si>
  <si>
    <t>(SbSe/MgF/SbSe)^3</t>
  </si>
  <si>
    <t>λ = 532</t>
  </si>
  <si>
    <t>FP</t>
  </si>
  <si>
    <t>U = H/2 L H/2</t>
  </si>
  <si>
    <t>N1 SbSe M1</t>
  </si>
  <si>
    <t>H =TiO2</t>
  </si>
  <si>
    <t>N2 SbSe M1</t>
  </si>
  <si>
    <t>N2 SbSe/TiO M2</t>
  </si>
  <si>
    <t>N1 SbSe/TiO M1</t>
  </si>
  <si>
    <t>N3 SbSe/TiO M3</t>
  </si>
  <si>
    <t>GST_amo</t>
  </si>
  <si>
    <t>GST_cry</t>
  </si>
  <si>
    <t>GST</t>
  </si>
  <si>
    <t>PCM (nm)</t>
  </si>
  <si>
    <t>Vo2_metallic</t>
  </si>
  <si>
    <t>Vo2_insulator</t>
  </si>
  <si>
    <t>Total PCM</t>
  </si>
  <si>
    <t>Total thickness(nm)</t>
  </si>
  <si>
    <t>VO2</t>
  </si>
  <si>
    <t>Vo2_20deg</t>
  </si>
  <si>
    <t>Vo2_70deg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</si>
</sst>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0000000_-;\-* #,##0.0000000000_-;_-* &quot;-&quot;??_-;_-@_-"/>
    <numFmt numFmtId="167" formatCode="0.000000"/>
  </numFmts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Helvetica"/>
    </font>
    <font>
      <sz val="11"/>
      <color theme="1"/>
      <name val="Helvetica"/>
    </font>
    <font>
      <b/>
      <vertAlign val="subscript"/>
      <sz val="11"/>
      <color theme="1"/>
      <name val="Helvetica"/>
    </font>
    <font>
      <vertAlign val="subscript"/>
      <sz val="11"/>
      <color theme="1"/>
      <name val="Arial"/>
      <family val="2"/>
    </font>
    <font>
      <b/>
      <sz val="12"/>
      <color rgb="FF2021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94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/>
    </xf>
    <xf numFmtId="164" fontId="3" fillId="6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164" fontId="2" fillId="6" borderId="8" xfId="0" applyNumberFormat="1" applyFont="1" applyFill="1" applyBorder="1" applyAlignment="1">
      <alignment horizontal="right" vertical="center" wrapText="1"/>
    </xf>
    <xf numFmtId="2" fontId="2" fillId="6" borderId="7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2" fillId="6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1" fillId="0" borderId="0" xfId="2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164" fontId="3" fillId="5" borderId="0" xfId="0" applyNumberFormat="1" applyFont="1" applyFill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167" fontId="3" fillId="6" borderId="0" xfId="0" applyNumberFormat="1" applyFont="1" applyFill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5" borderId="12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optmat.2020.110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D0FF-37A3-4BF0-A1B1-2B5FCB58BE4A}">
  <dimension ref="A1:V44"/>
  <sheetViews>
    <sheetView zoomScale="115" zoomScaleNormal="115" workbookViewId="0">
      <selection activeCell="K2" sqref="K1:K1048576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6" width="7.7109375" style="34" customWidth="1"/>
    <col min="7" max="7" width="8.7109375" style="137" customWidth="1"/>
    <col min="8" max="8" width="15.140625" style="136" customWidth="1"/>
    <col min="9" max="9" width="7.28515625" style="91" customWidth="1"/>
    <col min="10" max="10" width="7.28515625" style="92" customWidth="1"/>
    <col min="11" max="11" width="7.28515625" style="41" customWidth="1"/>
    <col min="12" max="13" width="7.28515625" style="92" customWidth="1"/>
    <col min="14" max="14" width="7.28515625" style="41" customWidth="1"/>
    <col min="15" max="16" width="7.28515625" style="92" customWidth="1"/>
    <col min="17" max="17" width="7.28515625" style="41" customWidth="1"/>
    <col min="18" max="18" width="7.28515625" style="35" customWidth="1"/>
    <col min="19" max="22" width="7.28515625" style="32" customWidth="1"/>
    <col min="23" max="16384" width="9.140625" style="32"/>
  </cols>
  <sheetData>
    <row r="1" spans="1:22" s="30" customFormat="1" ht="15" customHeight="1" x14ac:dyDescent="0.25">
      <c r="A1" s="147" t="s">
        <v>111</v>
      </c>
      <c r="B1" s="157" t="s">
        <v>19</v>
      </c>
      <c r="C1" s="149" t="s">
        <v>121</v>
      </c>
      <c r="D1" s="44" t="s">
        <v>98</v>
      </c>
      <c r="E1" s="153" t="s">
        <v>29</v>
      </c>
      <c r="F1" s="155" t="s">
        <v>115</v>
      </c>
      <c r="G1" s="162" t="s">
        <v>116</v>
      </c>
      <c r="H1" s="159" t="s">
        <v>28</v>
      </c>
      <c r="I1" s="151" t="s">
        <v>2</v>
      </c>
      <c r="J1" s="153"/>
      <c r="K1" s="161"/>
      <c r="L1" s="151" t="s">
        <v>4</v>
      </c>
      <c r="M1" s="153"/>
      <c r="N1" s="161"/>
      <c r="O1" s="151" t="s">
        <v>3</v>
      </c>
      <c r="P1" s="153"/>
      <c r="Q1" s="161"/>
      <c r="S1" s="128"/>
      <c r="T1" s="128"/>
      <c r="U1" s="128"/>
      <c r="V1" s="128"/>
    </row>
    <row r="2" spans="1:22" s="36" customFormat="1" ht="16.5" thickBot="1" x14ac:dyDescent="0.3">
      <c r="A2" s="148"/>
      <c r="B2" s="158"/>
      <c r="C2" s="150"/>
      <c r="D2" s="44"/>
      <c r="E2" s="154"/>
      <c r="F2" s="156"/>
      <c r="G2" s="163"/>
      <c r="H2" s="160"/>
      <c r="I2" s="111" t="s">
        <v>36</v>
      </c>
      <c r="J2" s="110" t="s">
        <v>37</v>
      </c>
      <c r="K2" s="51" t="s">
        <v>49</v>
      </c>
      <c r="L2" s="110" t="s">
        <v>36</v>
      </c>
      <c r="M2" s="110" t="s">
        <v>37</v>
      </c>
      <c r="N2" s="52" t="s">
        <v>50</v>
      </c>
      <c r="O2" s="110" t="s">
        <v>36</v>
      </c>
      <c r="P2" s="110" t="s">
        <v>37</v>
      </c>
      <c r="Q2" s="52" t="s">
        <v>51</v>
      </c>
      <c r="R2" s="129"/>
      <c r="S2" s="127"/>
      <c r="T2" s="127"/>
      <c r="U2" s="127"/>
      <c r="V2" s="127"/>
    </row>
    <row r="3" spans="1:22" s="30" customFormat="1" x14ac:dyDescent="0.25">
      <c r="A3" s="30">
        <v>532</v>
      </c>
      <c r="B3" s="35"/>
      <c r="C3" s="37" t="s">
        <v>74</v>
      </c>
      <c r="D3" s="44">
        <v>0</v>
      </c>
      <c r="E3" s="31">
        <v>0</v>
      </c>
      <c r="F3" s="84">
        <v>33.57</v>
      </c>
      <c r="G3" s="134">
        <f>F3</f>
        <v>33.57</v>
      </c>
      <c r="H3" s="135">
        <f>G3</f>
        <v>33.57</v>
      </c>
      <c r="I3" s="95">
        <v>0.16400000000000001</v>
      </c>
      <c r="J3" s="96">
        <v>5.8999999999999997E-2</v>
      </c>
      <c r="K3" s="90">
        <f t="shared" ref="K3:K10" si="0">I3-J3</f>
        <v>0.10500000000000001</v>
      </c>
      <c r="L3" s="96">
        <v>0.28999999999999998</v>
      </c>
      <c r="M3" s="96">
        <v>0.36299999999999999</v>
      </c>
      <c r="N3" s="90">
        <f t="shared" ref="N3:N10" si="1">L3-M3</f>
        <v>-7.3000000000000009E-2</v>
      </c>
      <c r="O3" s="96">
        <v>0.54600000000000004</v>
      </c>
      <c r="P3" s="96">
        <v>0.57699999999999996</v>
      </c>
      <c r="Q3" s="90">
        <f t="shared" ref="Q3:Q10" si="2">O3-P3</f>
        <v>-3.0999999999999917E-2</v>
      </c>
      <c r="R3" s="132"/>
      <c r="S3" s="133" t="s">
        <v>112</v>
      </c>
    </row>
    <row r="4" spans="1:22" s="30" customFormat="1" x14ac:dyDescent="0.25">
      <c r="A4" s="32" t="s">
        <v>124</v>
      </c>
      <c r="B4" s="35"/>
      <c r="C4" s="45" t="s">
        <v>136</v>
      </c>
      <c r="D4" s="44">
        <v>0</v>
      </c>
      <c r="E4" s="31">
        <v>0</v>
      </c>
      <c r="F4" s="84">
        <v>67.150000000000006</v>
      </c>
      <c r="G4" s="134">
        <f>F4</f>
        <v>67.150000000000006</v>
      </c>
      <c r="H4" s="135">
        <f>G4</f>
        <v>67.150000000000006</v>
      </c>
      <c r="I4" s="95">
        <v>9.5000000000000001E-2</v>
      </c>
      <c r="J4" s="96">
        <v>1.0999999999999999E-2</v>
      </c>
      <c r="K4" s="90">
        <f t="shared" si="0"/>
        <v>8.4000000000000005E-2</v>
      </c>
      <c r="L4" s="96">
        <v>0.58699999999999997</v>
      </c>
      <c r="M4" s="96">
        <v>0.49199999999999999</v>
      </c>
      <c r="N4" s="90">
        <f t="shared" si="1"/>
        <v>9.4999999999999973E-2</v>
      </c>
      <c r="O4" s="96">
        <v>0.317</v>
      </c>
      <c r="P4" s="96">
        <v>0.497</v>
      </c>
      <c r="Q4" s="90">
        <f t="shared" si="2"/>
        <v>-0.18</v>
      </c>
      <c r="S4" s="131"/>
    </row>
    <row r="5" spans="1:22" s="30" customFormat="1" x14ac:dyDescent="0.2">
      <c r="B5" s="35"/>
      <c r="C5" s="38" t="s">
        <v>123</v>
      </c>
      <c r="D5" s="44">
        <v>0</v>
      </c>
      <c r="E5" s="31">
        <v>192.17</v>
      </c>
      <c r="F5" s="84">
        <v>134.29</v>
      </c>
      <c r="G5" s="134">
        <f t="shared" ref="G5:G10" si="3">F5</f>
        <v>134.29</v>
      </c>
      <c r="H5" s="135">
        <v>326.45999999999998</v>
      </c>
      <c r="I5" s="95">
        <v>0.126</v>
      </c>
      <c r="J5" s="96">
        <v>1.6E-2</v>
      </c>
      <c r="K5" s="90">
        <f t="shared" si="0"/>
        <v>0.11</v>
      </c>
      <c r="L5" s="96">
        <v>0.77700000000000002</v>
      </c>
      <c r="M5" s="96">
        <v>0.72599999999999998</v>
      </c>
      <c r="N5" s="90">
        <f t="shared" si="1"/>
        <v>5.1000000000000045E-2</v>
      </c>
      <c r="O5" s="96">
        <v>9.7000000000000003E-2</v>
      </c>
      <c r="P5" s="96">
        <v>0.25800000000000001</v>
      </c>
      <c r="Q5" s="90">
        <f t="shared" si="2"/>
        <v>-0.161</v>
      </c>
      <c r="S5" s="130" t="s">
        <v>157</v>
      </c>
    </row>
    <row r="6" spans="1:22" s="30" customFormat="1" x14ac:dyDescent="0.25">
      <c r="B6" s="35"/>
      <c r="C6" s="38" t="s">
        <v>122</v>
      </c>
      <c r="D6" s="44">
        <v>0</v>
      </c>
      <c r="E6" s="31">
        <v>90.15</v>
      </c>
      <c r="F6" s="84">
        <v>67.150000000000006</v>
      </c>
      <c r="G6" s="134">
        <f t="shared" si="3"/>
        <v>67.150000000000006</v>
      </c>
      <c r="H6" s="135">
        <v>157.29</v>
      </c>
      <c r="I6" s="95">
        <v>0.13</v>
      </c>
      <c r="J6" s="96">
        <v>1.7000000000000001E-2</v>
      </c>
      <c r="K6" s="90">
        <f t="shared" si="0"/>
        <v>0.113</v>
      </c>
      <c r="L6" s="96">
        <v>0.80100000000000005</v>
      </c>
      <c r="M6" s="96">
        <v>0.76400000000000001</v>
      </c>
      <c r="N6" s="90">
        <f t="shared" si="1"/>
        <v>3.7000000000000033E-2</v>
      </c>
      <c r="O6" s="96">
        <v>6.9000000000000006E-2</v>
      </c>
      <c r="P6" s="96">
        <v>0.219</v>
      </c>
      <c r="Q6" s="90">
        <f t="shared" si="2"/>
        <v>-0.15</v>
      </c>
      <c r="S6" s="35" t="s">
        <v>114</v>
      </c>
    </row>
    <row r="7" spans="1:22" s="30" customFormat="1" x14ac:dyDescent="0.25">
      <c r="B7" s="35"/>
      <c r="C7" s="38" t="s">
        <v>125</v>
      </c>
      <c r="D7" s="44">
        <v>65.39</v>
      </c>
      <c r="E7" s="31">
        <v>0</v>
      </c>
      <c r="F7" s="84">
        <v>33.57</v>
      </c>
      <c r="G7" s="134">
        <f t="shared" si="3"/>
        <v>33.57</v>
      </c>
      <c r="H7" s="135">
        <v>98.96</v>
      </c>
      <c r="I7" s="95">
        <v>0.33200000000000002</v>
      </c>
      <c r="J7" s="96">
        <v>0.122</v>
      </c>
      <c r="K7" s="90">
        <f t="shared" si="0"/>
        <v>0.21000000000000002</v>
      </c>
      <c r="L7" s="96">
        <v>0.59199999999999997</v>
      </c>
      <c r="M7" s="96">
        <v>0.749</v>
      </c>
      <c r="N7" s="90">
        <f t="shared" si="1"/>
        <v>-0.15700000000000003</v>
      </c>
      <c r="O7" s="96">
        <v>7.6999999999999999E-2</v>
      </c>
      <c r="P7" s="96">
        <v>0.129</v>
      </c>
      <c r="Q7" s="90">
        <f t="shared" si="2"/>
        <v>-5.2000000000000005E-2</v>
      </c>
      <c r="S7" s="131"/>
    </row>
    <row r="8" spans="1:22" x14ac:dyDescent="0.25">
      <c r="C8" s="38" t="s">
        <v>105</v>
      </c>
      <c r="D8" s="44">
        <v>54.28</v>
      </c>
      <c r="E8" s="34">
        <v>0</v>
      </c>
      <c r="F8" s="84">
        <v>33.57</v>
      </c>
      <c r="G8" s="134">
        <f t="shared" si="3"/>
        <v>33.57</v>
      </c>
      <c r="H8" s="136">
        <v>87.85</v>
      </c>
      <c r="I8" s="91">
        <v>0.34499999999999997</v>
      </c>
      <c r="J8" s="92">
        <v>0.127</v>
      </c>
      <c r="K8" s="90">
        <f t="shared" si="0"/>
        <v>0.21799999999999997</v>
      </c>
      <c r="L8" s="92">
        <v>0.61699999999999999</v>
      </c>
      <c r="M8" s="92">
        <v>0.77800000000000002</v>
      </c>
      <c r="N8" s="90">
        <f t="shared" si="1"/>
        <v>-0.16100000000000003</v>
      </c>
      <c r="O8" s="92">
        <v>3.7999999999999999E-2</v>
      </c>
      <c r="P8" s="92">
        <v>9.5000000000000001E-2</v>
      </c>
      <c r="Q8" s="90">
        <f t="shared" si="2"/>
        <v>-5.7000000000000002E-2</v>
      </c>
    </row>
    <row r="9" spans="1:22" x14ac:dyDescent="0.25">
      <c r="B9" s="71" t="s">
        <v>106</v>
      </c>
      <c r="C9" s="81" t="s">
        <v>105</v>
      </c>
      <c r="D9" s="44">
        <v>56.6</v>
      </c>
      <c r="E9" s="34">
        <v>0</v>
      </c>
      <c r="F9" s="84">
        <v>22.6</v>
      </c>
      <c r="G9" s="134">
        <f t="shared" si="3"/>
        <v>22.6</v>
      </c>
      <c r="H9" s="136">
        <v>79.2</v>
      </c>
      <c r="I9" s="91">
        <v>0.42799999999999999</v>
      </c>
      <c r="J9" s="92">
        <v>0.21</v>
      </c>
      <c r="K9" s="90">
        <f>I9-J9</f>
        <v>0.218</v>
      </c>
      <c r="L9" s="92">
        <v>0.56499999999999995</v>
      </c>
      <c r="M9" s="92">
        <v>0.72599999999999998</v>
      </c>
      <c r="N9" s="90">
        <f>L9-M9</f>
        <v>-0.16100000000000003</v>
      </c>
      <c r="O9" s="92">
        <v>7.0000000000000001E-3</v>
      </c>
      <c r="P9" s="92">
        <v>6.4000000000000001E-2</v>
      </c>
      <c r="Q9" s="90">
        <f>O9-P9</f>
        <v>-5.7000000000000002E-2</v>
      </c>
    </row>
    <row r="10" spans="1:22" x14ac:dyDescent="0.25">
      <c r="B10" s="71"/>
      <c r="C10" s="38" t="s">
        <v>105</v>
      </c>
      <c r="D10" s="44">
        <v>42.9</v>
      </c>
      <c r="E10" s="34">
        <v>0</v>
      </c>
      <c r="F10" s="84">
        <v>43.7</v>
      </c>
      <c r="G10" s="134">
        <f t="shared" si="3"/>
        <v>43.7</v>
      </c>
      <c r="H10" s="136">
        <v>86.6</v>
      </c>
      <c r="I10" s="91">
        <v>0.29199999999999998</v>
      </c>
      <c r="J10" s="92">
        <v>8.3000000000000004E-2</v>
      </c>
      <c r="K10" s="90">
        <f t="shared" si="0"/>
        <v>0.20899999999999996</v>
      </c>
      <c r="L10" s="92">
        <v>0.70399999999999996</v>
      </c>
      <c r="M10" s="92">
        <v>0.91600000000000004</v>
      </c>
      <c r="N10" s="90">
        <f t="shared" si="1"/>
        <v>-0.21200000000000008</v>
      </c>
      <c r="O10" s="92">
        <v>3.0000000000000001E-3</v>
      </c>
      <c r="P10" s="92">
        <v>1E-3</v>
      </c>
      <c r="Q10" s="90">
        <f t="shared" si="2"/>
        <v>2E-3</v>
      </c>
    </row>
    <row r="11" spans="1:22" x14ac:dyDescent="0.25">
      <c r="B11" s="71"/>
      <c r="F11" s="84"/>
      <c r="G11" s="134"/>
      <c r="K11" s="90"/>
      <c r="N11" s="90"/>
      <c r="Q11" s="90"/>
    </row>
    <row r="12" spans="1:22" x14ac:dyDescent="0.25">
      <c r="B12" s="35" t="s">
        <v>100</v>
      </c>
      <c r="C12" s="38" t="s">
        <v>103</v>
      </c>
      <c r="D12" s="44">
        <v>90.15</v>
      </c>
      <c r="E12" s="34">
        <v>96.08</v>
      </c>
      <c r="F12" s="84">
        <v>67.150000000000006</v>
      </c>
      <c r="G12" s="134">
        <f>F12</f>
        <v>67.150000000000006</v>
      </c>
      <c r="H12" s="136">
        <v>219.8</v>
      </c>
      <c r="I12" s="91">
        <v>0.126</v>
      </c>
      <c r="J12" s="92">
        <v>1.6E-2</v>
      </c>
      <c r="K12" s="90">
        <f>I12-J12</f>
        <v>0.11</v>
      </c>
      <c r="L12" s="92">
        <v>0.77700000000000002</v>
      </c>
      <c r="M12" s="92">
        <v>0.72599999999999998</v>
      </c>
      <c r="N12" s="90">
        <f>L12-M12</f>
        <v>5.1000000000000045E-2</v>
      </c>
      <c r="O12" s="92">
        <v>9.7000000000000003E-2</v>
      </c>
      <c r="P12" s="92">
        <v>0.25800000000000001</v>
      </c>
      <c r="Q12" s="90">
        <f>O12-P12</f>
        <v>-0.161</v>
      </c>
    </row>
    <row r="13" spans="1:22" x14ac:dyDescent="0.25">
      <c r="A13" s="30"/>
      <c r="C13" s="38" t="s">
        <v>102</v>
      </c>
      <c r="D13" s="44">
        <v>81.540000000000006</v>
      </c>
      <c r="E13" s="34">
        <v>96.08</v>
      </c>
      <c r="F13" s="84">
        <v>67.150000000000006</v>
      </c>
      <c r="G13" s="134">
        <f>F13</f>
        <v>67.150000000000006</v>
      </c>
      <c r="H13" s="136">
        <v>211.2</v>
      </c>
      <c r="I13" s="91">
        <v>0.13700000000000001</v>
      </c>
      <c r="J13" s="92">
        <v>1.7999999999999999E-2</v>
      </c>
      <c r="K13" s="90">
        <f>I13-J13</f>
        <v>0.11900000000000001</v>
      </c>
      <c r="L13" s="92">
        <v>0.75800000000000001</v>
      </c>
      <c r="M13" s="92">
        <v>0.72199999999999998</v>
      </c>
      <c r="N13" s="90">
        <f>L13-M13</f>
        <v>3.6000000000000032E-2</v>
      </c>
      <c r="O13" s="92">
        <v>0.105</v>
      </c>
      <c r="P13" s="92">
        <v>0.26</v>
      </c>
      <c r="Q13" s="90">
        <f>O13-P13</f>
        <v>-0.15500000000000003</v>
      </c>
    </row>
    <row r="14" spans="1:22" x14ac:dyDescent="0.25">
      <c r="C14" s="38" t="s">
        <v>101</v>
      </c>
      <c r="D14" s="44">
        <v>65.39</v>
      </c>
      <c r="E14" s="34">
        <v>81.540000000000006</v>
      </c>
      <c r="F14" s="84">
        <v>67.150000000000006</v>
      </c>
      <c r="G14" s="134">
        <f>F14</f>
        <v>67.150000000000006</v>
      </c>
      <c r="H14" s="136">
        <v>214.07</v>
      </c>
      <c r="I14" s="91">
        <v>0.16500000000000001</v>
      </c>
      <c r="J14" s="92">
        <v>2.4E-2</v>
      </c>
      <c r="K14" s="90">
        <f>I14-J14</f>
        <v>0.14100000000000001</v>
      </c>
      <c r="L14" s="92">
        <v>0.78900000000000003</v>
      </c>
      <c r="M14" s="92">
        <v>0.82099999999999995</v>
      </c>
      <c r="N14" s="90">
        <f>L14-M14</f>
        <v>-3.1999999999999917E-2</v>
      </c>
      <c r="O14" s="92">
        <v>4.7E-2</v>
      </c>
      <c r="P14" s="92">
        <v>0.155</v>
      </c>
      <c r="Q14" s="90">
        <f>O14-P14</f>
        <v>-0.108</v>
      </c>
    </row>
    <row r="15" spans="1:22" s="35" customFormat="1" x14ac:dyDescent="0.25">
      <c r="A15" s="32"/>
      <c r="C15" s="38" t="s">
        <v>99</v>
      </c>
      <c r="D15" s="44">
        <v>54.28</v>
      </c>
      <c r="E15" s="34">
        <v>65.39</v>
      </c>
      <c r="F15" s="84">
        <v>67.150000000000006</v>
      </c>
      <c r="G15" s="134">
        <f>F15</f>
        <v>67.150000000000006</v>
      </c>
      <c r="H15" s="136">
        <v>186.81</v>
      </c>
      <c r="I15" s="91">
        <v>0.17599999999999999</v>
      </c>
      <c r="J15" s="92">
        <v>2.9000000000000001E-2</v>
      </c>
      <c r="K15" s="90">
        <f>I15-J15</f>
        <v>0.14699999999999999</v>
      </c>
      <c r="L15" s="92">
        <v>0.81100000000000005</v>
      </c>
      <c r="M15" s="92">
        <v>0.90800000000000003</v>
      </c>
      <c r="N15" s="90">
        <f>L15-M15</f>
        <v>-9.6999999999999975E-2</v>
      </c>
      <c r="O15" s="92">
        <v>1.2999999999999999E-2</v>
      </c>
      <c r="P15" s="92">
        <v>6.3E-2</v>
      </c>
      <c r="Q15" s="90">
        <f>O15-P15</f>
        <v>-0.05</v>
      </c>
      <c r="S15" s="32"/>
      <c r="T15" s="32"/>
      <c r="U15" s="32"/>
      <c r="V15" s="32"/>
    </row>
    <row r="16" spans="1:22" s="35" customFormat="1" x14ac:dyDescent="0.25">
      <c r="A16" s="32"/>
      <c r="C16" s="38"/>
      <c r="D16" s="44"/>
      <c r="E16" s="34"/>
      <c r="F16" s="34"/>
      <c r="G16" s="137"/>
      <c r="H16" s="136"/>
      <c r="I16" s="91"/>
      <c r="J16" s="92"/>
      <c r="K16" s="90"/>
      <c r="L16" s="92"/>
      <c r="M16" s="92"/>
      <c r="N16" s="90"/>
      <c r="O16" s="92"/>
      <c r="P16" s="92"/>
      <c r="Q16" s="90"/>
      <c r="S16" s="32"/>
      <c r="T16" s="32"/>
      <c r="U16" s="32"/>
      <c r="V16" s="32"/>
    </row>
    <row r="17" spans="1:22" s="35" customFormat="1" x14ac:dyDescent="0.25">
      <c r="A17" s="30">
        <v>532</v>
      </c>
      <c r="B17" s="35" t="s">
        <v>109</v>
      </c>
      <c r="C17" s="38" t="s">
        <v>141</v>
      </c>
      <c r="D17" s="44">
        <v>5.9</v>
      </c>
      <c r="E17" s="34">
        <v>0</v>
      </c>
      <c r="F17" s="34">
        <v>44.5</v>
      </c>
      <c r="G17" s="137">
        <f>F17</f>
        <v>44.5</v>
      </c>
      <c r="H17" s="136">
        <v>255.1</v>
      </c>
      <c r="I17" s="91">
        <v>0.24299999999999999</v>
      </c>
      <c r="J17" s="92">
        <v>5.8999999999999997E-2</v>
      </c>
      <c r="K17" s="90">
        <f t="shared" ref="K17:K25" si="4">I17-J17</f>
        <v>0.184</v>
      </c>
      <c r="L17" s="92">
        <v>0.755</v>
      </c>
      <c r="M17" s="92">
        <v>0.874</v>
      </c>
      <c r="N17" s="90">
        <f t="shared" ref="N17:N25" si="5">L17-M17</f>
        <v>-0.11899999999999999</v>
      </c>
      <c r="O17" s="92">
        <v>2E-3</v>
      </c>
      <c r="P17" s="92">
        <v>6.7000000000000004E-2</v>
      </c>
      <c r="Q17" s="90">
        <f t="shared" ref="Q17:Q25" si="6">O17-P17</f>
        <v>-6.5000000000000002E-2</v>
      </c>
      <c r="S17" s="32"/>
      <c r="T17" s="32"/>
      <c r="U17" s="32"/>
      <c r="V17" s="32"/>
    </row>
    <row r="18" spans="1:22" s="35" customFormat="1" x14ac:dyDescent="0.25">
      <c r="A18" s="32" t="s">
        <v>140</v>
      </c>
      <c r="C18" s="38" t="s">
        <v>142</v>
      </c>
      <c r="D18" s="44">
        <v>2.1</v>
      </c>
      <c r="E18" s="34">
        <v>0</v>
      </c>
      <c r="F18" s="34">
        <v>46.7</v>
      </c>
      <c r="G18" s="137">
        <f>F18</f>
        <v>46.7</v>
      </c>
      <c r="H18" s="136">
        <v>403.8</v>
      </c>
      <c r="I18" s="91">
        <v>0.10100000000000001</v>
      </c>
      <c r="J18" s="92">
        <v>0.02</v>
      </c>
      <c r="K18" s="90">
        <f t="shared" si="4"/>
        <v>8.1000000000000003E-2</v>
      </c>
      <c r="L18" s="92">
        <v>0.89900000000000002</v>
      </c>
      <c r="M18" s="92">
        <v>0.86399999999999999</v>
      </c>
      <c r="N18" s="90">
        <f t="shared" si="5"/>
        <v>3.5000000000000031E-2</v>
      </c>
      <c r="O18" s="92">
        <v>0</v>
      </c>
      <c r="P18" s="92">
        <v>0.115</v>
      </c>
      <c r="Q18" s="90">
        <f t="shared" si="6"/>
        <v>-0.115</v>
      </c>
      <c r="S18" s="32"/>
      <c r="T18" s="32"/>
      <c r="U18" s="32"/>
      <c r="V18" s="32"/>
    </row>
    <row r="19" spans="1:22" s="35" customFormat="1" x14ac:dyDescent="0.25">
      <c r="A19" s="32" t="s">
        <v>138</v>
      </c>
      <c r="C19" s="38" t="s">
        <v>143</v>
      </c>
      <c r="D19" s="44">
        <v>42.9</v>
      </c>
      <c r="E19" s="34">
        <v>0</v>
      </c>
      <c r="F19" s="34">
        <v>7.1</v>
      </c>
      <c r="G19" s="137">
        <v>10.1</v>
      </c>
      <c r="H19" s="136">
        <v>555.4</v>
      </c>
      <c r="I19" s="91">
        <v>0.33500000000000002</v>
      </c>
      <c r="J19" s="92">
        <v>0.153</v>
      </c>
      <c r="K19" s="90">
        <f t="shared" si="4"/>
        <v>0.18200000000000002</v>
      </c>
      <c r="L19" s="92">
        <v>0.66100000000000003</v>
      </c>
      <c r="M19" s="92">
        <v>0.73499999999999999</v>
      </c>
      <c r="N19" s="90">
        <f t="shared" si="5"/>
        <v>-7.3999999999999955E-2</v>
      </c>
      <c r="O19" s="92">
        <v>4.0000000000000001E-3</v>
      </c>
      <c r="P19" s="92">
        <v>0.112</v>
      </c>
      <c r="Q19" s="90">
        <f t="shared" si="6"/>
        <v>-0.108</v>
      </c>
      <c r="S19" s="32"/>
      <c r="T19" s="32"/>
      <c r="U19" s="32"/>
      <c r="V19" s="32"/>
    </row>
    <row r="20" spans="1:22" s="35" customFormat="1" x14ac:dyDescent="0.25">
      <c r="A20" s="32" t="s">
        <v>139</v>
      </c>
      <c r="C20" s="38" t="s">
        <v>144</v>
      </c>
      <c r="D20" s="44">
        <v>0.7</v>
      </c>
      <c r="E20" s="34">
        <v>0</v>
      </c>
      <c r="F20" s="34">
        <v>47.5</v>
      </c>
      <c r="G20" s="137">
        <f>F20</f>
        <v>47.5</v>
      </c>
      <c r="H20" s="136">
        <v>553.5</v>
      </c>
      <c r="I20" s="91">
        <v>3.5000000000000003E-2</v>
      </c>
      <c r="J20" s="92">
        <v>7.0000000000000001E-3</v>
      </c>
      <c r="K20" s="90">
        <f t="shared" si="4"/>
        <v>2.8000000000000004E-2</v>
      </c>
      <c r="L20" s="92">
        <v>0.96499999999999997</v>
      </c>
      <c r="M20" s="92">
        <v>0.85899999999999999</v>
      </c>
      <c r="N20" s="42">
        <f t="shared" si="5"/>
        <v>0.10599999999999998</v>
      </c>
      <c r="O20" s="92">
        <v>0</v>
      </c>
      <c r="P20" s="92">
        <v>0.13500000000000001</v>
      </c>
      <c r="Q20" s="42">
        <f t="shared" si="6"/>
        <v>-0.13500000000000001</v>
      </c>
      <c r="S20" s="32"/>
      <c r="T20" s="32"/>
      <c r="U20" s="32"/>
      <c r="V20" s="32"/>
    </row>
    <row r="21" spans="1:22" s="35" customFormat="1" x14ac:dyDescent="0.25">
      <c r="A21" s="32"/>
      <c r="C21" s="38" t="s">
        <v>145</v>
      </c>
      <c r="D21" s="44">
        <v>16.3</v>
      </c>
      <c r="E21" s="34">
        <v>0</v>
      </c>
      <c r="F21" s="34">
        <v>32.200000000000003</v>
      </c>
      <c r="G21" s="137">
        <v>34</v>
      </c>
      <c r="H21" s="136">
        <v>704.3</v>
      </c>
      <c r="I21" s="91">
        <v>0.08</v>
      </c>
      <c r="J21" s="92">
        <v>2.1999999999999999E-2</v>
      </c>
      <c r="K21" s="90">
        <f t="shared" si="4"/>
        <v>5.8000000000000003E-2</v>
      </c>
      <c r="L21" s="92">
        <v>0.92</v>
      </c>
      <c r="M21" s="92">
        <v>0.90100000000000002</v>
      </c>
      <c r="N21" s="90">
        <f t="shared" si="5"/>
        <v>1.9000000000000017E-2</v>
      </c>
      <c r="O21" s="92">
        <v>0</v>
      </c>
      <c r="P21" s="92">
        <v>7.6999999999999999E-2</v>
      </c>
      <c r="Q21" s="90">
        <f t="shared" si="6"/>
        <v>-7.6999999999999999E-2</v>
      </c>
      <c r="S21" s="32"/>
      <c r="T21" s="32"/>
      <c r="U21" s="32"/>
      <c r="V21" s="32"/>
    </row>
    <row r="22" spans="1:22" s="35" customFormat="1" x14ac:dyDescent="0.25">
      <c r="A22" s="32"/>
      <c r="C22" s="38" t="s">
        <v>146</v>
      </c>
      <c r="D22" s="44">
        <v>52.2</v>
      </c>
      <c r="E22" s="34">
        <v>0</v>
      </c>
      <c r="F22" s="34">
        <v>1.2</v>
      </c>
      <c r="G22" s="137">
        <v>1.2</v>
      </c>
      <c r="H22" s="136">
        <v>859.5</v>
      </c>
      <c r="I22" s="91">
        <v>0.43099999999999999</v>
      </c>
      <c r="J22" s="92">
        <v>0.218</v>
      </c>
      <c r="K22" s="90">
        <f t="shared" si="4"/>
        <v>0.21299999999999999</v>
      </c>
      <c r="L22" s="92">
        <v>0.56100000000000005</v>
      </c>
      <c r="M22" s="92">
        <v>0.69499999999999995</v>
      </c>
      <c r="N22" s="90">
        <f t="shared" si="5"/>
        <v>-0.1339999999999999</v>
      </c>
      <c r="O22" s="92">
        <v>8.0000000000000002E-3</v>
      </c>
      <c r="P22" s="92">
        <v>8.6999999999999994E-2</v>
      </c>
      <c r="Q22" s="90">
        <f t="shared" si="6"/>
        <v>-7.8999999999999987E-2</v>
      </c>
      <c r="S22" s="32"/>
      <c r="T22" s="32"/>
      <c r="U22" s="32"/>
      <c r="V22" s="32"/>
    </row>
    <row r="23" spans="1:22" s="35" customFormat="1" x14ac:dyDescent="0.25">
      <c r="A23" s="32"/>
      <c r="B23" s="35" t="s">
        <v>109</v>
      </c>
      <c r="C23" s="81" t="s">
        <v>153</v>
      </c>
      <c r="D23" s="44">
        <v>51.4</v>
      </c>
      <c r="E23" s="34">
        <v>0</v>
      </c>
      <c r="F23" s="34">
        <v>6.6</v>
      </c>
      <c r="G23" s="137">
        <v>6.6</v>
      </c>
      <c r="H23" s="136">
        <v>262.60000000000002</v>
      </c>
      <c r="I23" s="91">
        <v>0.64300000000000002</v>
      </c>
      <c r="J23" s="92">
        <v>0.41499999999999998</v>
      </c>
      <c r="K23" s="90">
        <f t="shared" si="4"/>
        <v>0.22800000000000004</v>
      </c>
      <c r="L23" s="92">
        <v>0.34100000000000003</v>
      </c>
      <c r="M23" s="92">
        <v>0.53700000000000003</v>
      </c>
      <c r="N23" s="90">
        <f t="shared" si="5"/>
        <v>-0.19600000000000001</v>
      </c>
      <c r="O23" s="92">
        <v>1.6E-2</v>
      </c>
      <c r="P23" s="92">
        <v>4.7E-2</v>
      </c>
      <c r="Q23" s="90">
        <f t="shared" si="6"/>
        <v>-3.1E-2</v>
      </c>
      <c r="S23" s="32"/>
      <c r="T23" s="32"/>
      <c r="U23" s="32"/>
      <c r="V23" s="32"/>
    </row>
    <row r="24" spans="1:22" s="35" customFormat="1" x14ac:dyDescent="0.25">
      <c r="A24" s="32"/>
      <c r="C24" s="38" t="s">
        <v>154</v>
      </c>
      <c r="D24" s="32">
        <v>32.4</v>
      </c>
      <c r="E24" s="32">
        <v>0</v>
      </c>
      <c r="F24" s="32">
        <v>25.5</v>
      </c>
      <c r="G24" s="137">
        <f>F24</f>
        <v>25.5</v>
      </c>
      <c r="H24" s="136">
        <v>412.8</v>
      </c>
      <c r="I24" s="35">
        <v>0.33400000000000002</v>
      </c>
      <c r="J24" s="92">
        <v>0.15</v>
      </c>
      <c r="K24" s="90">
        <f t="shared" si="4"/>
        <v>0.18400000000000002</v>
      </c>
      <c r="L24" s="35">
        <v>0.66200000000000003</v>
      </c>
      <c r="M24" s="35">
        <v>0.751</v>
      </c>
      <c r="N24" s="90">
        <f t="shared" si="5"/>
        <v>-8.8999999999999968E-2</v>
      </c>
      <c r="O24" s="35">
        <v>4.0000000000000001E-3</v>
      </c>
      <c r="P24" s="35">
        <v>9.9000000000000005E-2</v>
      </c>
      <c r="Q24" s="90">
        <f t="shared" si="6"/>
        <v>-9.5000000000000001E-2</v>
      </c>
      <c r="S24" s="32"/>
      <c r="T24" s="32"/>
      <c r="U24" s="32"/>
      <c r="V24" s="32"/>
    </row>
    <row r="25" spans="1:22" x14ac:dyDescent="0.25">
      <c r="C25" s="38" t="s">
        <v>155</v>
      </c>
      <c r="D25" s="44">
        <v>56.8</v>
      </c>
      <c r="E25" s="34">
        <v>0</v>
      </c>
      <c r="F25" s="34">
        <v>2.8</v>
      </c>
      <c r="G25" s="137">
        <f>F25</f>
        <v>2.8</v>
      </c>
      <c r="H25" s="136">
        <v>565</v>
      </c>
      <c r="I25" s="91">
        <v>0.39800000000000002</v>
      </c>
      <c r="J25" s="92">
        <v>0.17599999999999999</v>
      </c>
      <c r="K25" s="90">
        <f t="shared" si="4"/>
        <v>0.22200000000000003</v>
      </c>
      <c r="L25" s="92">
        <v>0.53500000000000003</v>
      </c>
      <c r="M25" s="92">
        <v>0.57299999999999995</v>
      </c>
      <c r="N25" s="90">
        <f t="shared" si="5"/>
        <v>-3.7999999999999923E-2</v>
      </c>
      <c r="O25" s="92">
        <v>6.7000000000000004E-2</v>
      </c>
      <c r="P25" s="92">
        <v>0.252</v>
      </c>
      <c r="Q25" s="90">
        <f t="shared" si="6"/>
        <v>-0.185</v>
      </c>
    </row>
    <row r="26" spans="1:22" s="35" customFormat="1" ht="14.25" x14ac:dyDescent="0.25">
      <c r="C26" s="38"/>
      <c r="J26" s="139"/>
      <c r="S26" s="32"/>
      <c r="T26" s="32"/>
      <c r="U26" s="32"/>
      <c r="V26" s="32"/>
    </row>
    <row r="27" spans="1:22" s="35" customFormat="1" x14ac:dyDescent="0.25">
      <c r="B27" s="35" t="s">
        <v>109</v>
      </c>
      <c r="C27" s="38" t="s">
        <v>147</v>
      </c>
      <c r="D27" s="44">
        <v>34.6</v>
      </c>
      <c r="E27" s="34">
        <v>0</v>
      </c>
      <c r="F27" s="34">
        <v>7.1</v>
      </c>
      <c r="G27" s="137">
        <v>14.2</v>
      </c>
      <c r="H27" s="136">
        <v>253.4</v>
      </c>
      <c r="I27" s="91">
        <v>0.38200000000000001</v>
      </c>
      <c r="J27" s="92">
        <v>0.14399999999999999</v>
      </c>
      <c r="K27" s="90">
        <f t="shared" ref="K27:K32" si="7">I27-J27</f>
        <v>0.23800000000000002</v>
      </c>
      <c r="L27" s="92">
        <v>0.61299999999999999</v>
      </c>
      <c r="M27" s="92">
        <v>0.78800000000000003</v>
      </c>
      <c r="N27" s="90">
        <f t="shared" ref="N27:N32" si="8">L27-M27</f>
        <v>-0.17500000000000004</v>
      </c>
      <c r="O27" s="92">
        <v>5.0000000000000001E-3</v>
      </c>
      <c r="P27" s="92">
        <v>6.8000000000000005E-2</v>
      </c>
      <c r="Q27" s="90">
        <f t="shared" ref="Q27:Q32" si="9">O27-P27</f>
        <v>-6.3E-2</v>
      </c>
      <c r="S27" s="32"/>
      <c r="T27" s="32"/>
      <c r="U27" s="32"/>
      <c r="V27" s="32"/>
    </row>
    <row r="28" spans="1:22" s="35" customFormat="1" x14ac:dyDescent="0.25">
      <c r="C28" s="38" t="s">
        <v>148</v>
      </c>
      <c r="D28" s="44">
        <v>20.2</v>
      </c>
      <c r="E28" s="34">
        <v>0</v>
      </c>
      <c r="F28" s="34">
        <v>13.7</v>
      </c>
      <c r="G28" s="137">
        <v>27.4</v>
      </c>
      <c r="H28" s="136">
        <v>402.5</v>
      </c>
      <c r="I28" s="91">
        <v>0.11700000000000001</v>
      </c>
      <c r="J28" s="92">
        <v>2.8000000000000001E-2</v>
      </c>
      <c r="K28" s="97">
        <f t="shared" si="7"/>
        <v>8.900000000000001E-2</v>
      </c>
      <c r="L28" s="92">
        <v>0.88200000000000001</v>
      </c>
      <c r="M28" s="92">
        <v>0.84799999999999998</v>
      </c>
      <c r="N28" s="97">
        <f t="shared" si="8"/>
        <v>3.400000000000003E-2</v>
      </c>
      <c r="O28" s="92">
        <v>1E-3</v>
      </c>
      <c r="P28" s="92">
        <v>0.124</v>
      </c>
      <c r="Q28" s="97">
        <f t="shared" si="9"/>
        <v>-0.123</v>
      </c>
      <c r="S28" s="32"/>
      <c r="T28" s="32"/>
      <c r="U28" s="32"/>
      <c r="V28" s="32"/>
    </row>
    <row r="29" spans="1:22" s="35" customFormat="1" x14ac:dyDescent="0.25">
      <c r="C29" s="81" t="s">
        <v>149</v>
      </c>
      <c r="D29" s="44">
        <v>48.6</v>
      </c>
      <c r="E29" s="34">
        <v>0</v>
      </c>
      <c r="F29" s="34">
        <v>1.8</v>
      </c>
      <c r="G29" s="137">
        <v>3.5</v>
      </c>
      <c r="H29" s="136">
        <v>557.5</v>
      </c>
      <c r="I29" s="91">
        <v>0.442</v>
      </c>
      <c r="J29" s="92">
        <v>0.216</v>
      </c>
      <c r="K29" s="97">
        <f t="shared" si="7"/>
        <v>0.22600000000000001</v>
      </c>
      <c r="L29" s="92">
        <v>0.55000000000000004</v>
      </c>
      <c r="M29" s="92">
        <v>0.69499999999999995</v>
      </c>
      <c r="N29" s="97">
        <f t="shared" si="8"/>
        <v>-0.14499999999999991</v>
      </c>
      <c r="O29" s="92">
        <v>7.0000000000000001E-3</v>
      </c>
      <c r="P29" s="92">
        <v>8.8999999999999996E-2</v>
      </c>
      <c r="Q29" s="97">
        <f t="shared" si="9"/>
        <v>-8.199999999999999E-2</v>
      </c>
      <c r="S29" s="32"/>
      <c r="T29" s="32"/>
      <c r="U29" s="32"/>
      <c r="V29" s="32"/>
    </row>
    <row r="30" spans="1:22" s="35" customFormat="1" x14ac:dyDescent="0.25">
      <c r="C30" s="38" t="s">
        <v>150</v>
      </c>
      <c r="D30" s="44">
        <v>0</v>
      </c>
      <c r="E30" s="34">
        <v>32.200000000000003</v>
      </c>
      <c r="F30" s="34">
        <v>8.3000000000000007</v>
      </c>
      <c r="G30" s="137">
        <v>16.600000000000001</v>
      </c>
      <c r="H30" s="136">
        <v>253.4</v>
      </c>
      <c r="I30" s="91">
        <v>0.161</v>
      </c>
      <c r="J30" s="92">
        <v>4.8000000000000001E-2</v>
      </c>
      <c r="K30" s="97">
        <f t="shared" si="7"/>
        <v>0.113</v>
      </c>
      <c r="L30" s="92">
        <v>0.81699999999999995</v>
      </c>
      <c r="M30" s="92">
        <v>0.90600000000000003</v>
      </c>
      <c r="N30" s="97">
        <f t="shared" si="8"/>
        <v>-8.9000000000000079E-2</v>
      </c>
      <c r="O30" s="92">
        <v>2.1999999999999999E-2</v>
      </c>
      <c r="P30" s="92">
        <v>4.5999999999999999E-2</v>
      </c>
      <c r="Q30" s="97">
        <f t="shared" si="9"/>
        <v>-2.4E-2</v>
      </c>
      <c r="S30" s="32"/>
      <c r="T30" s="32"/>
      <c r="U30" s="32"/>
      <c r="V30" s="32"/>
    </row>
    <row r="31" spans="1:22" s="35" customFormat="1" x14ac:dyDescent="0.25">
      <c r="C31" s="38" t="s">
        <v>151</v>
      </c>
      <c r="D31" s="44">
        <v>0</v>
      </c>
      <c r="E31" s="34">
        <v>18</v>
      </c>
      <c r="F31" s="34">
        <v>14.7</v>
      </c>
      <c r="G31" s="137">
        <v>29.5</v>
      </c>
      <c r="H31" s="136">
        <v>402.5</v>
      </c>
      <c r="I31" s="91">
        <v>0.111</v>
      </c>
      <c r="J31" s="92">
        <v>2.5000000000000001E-2</v>
      </c>
      <c r="K31" s="97">
        <f t="shared" si="7"/>
        <v>8.5999999999999993E-2</v>
      </c>
      <c r="L31" s="92">
        <v>0.88800000000000001</v>
      </c>
      <c r="M31" s="92">
        <v>0.85499999999999998</v>
      </c>
      <c r="N31" s="97">
        <f t="shared" si="8"/>
        <v>3.3000000000000029E-2</v>
      </c>
      <c r="O31" s="92">
        <v>1E-3</v>
      </c>
      <c r="P31" s="92">
        <v>0.12</v>
      </c>
      <c r="Q31" s="97">
        <f t="shared" si="9"/>
        <v>-0.11899999999999999</v>
      </c>
      <c r="S31" s="32"/>
      <c r="T31" s="32"/>
      <c r="U31" s="32"/>
      <c r="V31" s="32"/>
    </row>
    <row r="32" spans="1:22" x14ac:dyDescent="0.25">
      <c r="C32" s="38" t="s">
        <v>152</v>
      </c>
      <c r="D32" s="44">
        <v>0</v>
      </c>
      <c r="E32" s="34">
        <v>54.1</v>
      </c>
      <c r="F32" s="34">
        <v>1.8</v>
      </c>
      <c r="G32" s="137">
        <v>3.6</v>
      </c>
      <c r="H32" s="136">
        <v>563.1</v>
      </c>
      <c r="I32" s="91">
        <v>0.442</v>
      </c>
      <c r="J32" s="92">
        <v>0.21199999999999999</v>
      </c>
      <c r="K32" s="97">
        <f t="shared" si="7"/>
        <v>0.23</v>
      </c>
      <c r="L32" s="92">
        <v>0.55100000000000005</v>
      </c>
      <c r="M32" s="92">
        <v>0.70699999999999996</v>
      </c>
      <c r="N32" s="97">
        <f t="shared" si="8"/>
        <v>-0.15599999999999992</v>
      </c>
      <c r="O32" s="92">
        <v>7.0000000000000001E-3</v>
      </c>
      <c r="P32" s="92">
        <v>8.2000000000000003E-2</v>
      </c>
      <c r="Q32" s="97">
        <f t="shared" si="9"/>
        <v>-7.4999999999999997E-2</v>
      </c>
    </row>
    <row r="36" spans="1:3" x14ac:dyDescent="0.25">
      <c r="A36" s="140" t="s">
        <v>157</v>
      </c>
      <c r="B36" s="69" t="s">
        <v>82</v>
      </c>
      <c r="C36" s="37" t="s">
        <v>83</v>
      </c>
    </row>
    <row r="37" spans="1:3" x14ac:dyDescent="0.25">
      <c r="A37" s="32" t="s">
        <v>128</v>
      </c>
      <c r="B37" s="35">
        <v>1.3842000000000001</v>
      </c>
      <c r="C37" s="38">
        <v>0</v>
      </c>
    </row>
    <row r="38" spans="1:3" x14ac:dyDescent="0.25">
      <c r="A38" s="32" t="s">
        <v>129</v>
      </c>
      <c r="B38" s="35">
        <v>1.4754</v>
      </c>
      <c r="C38" s="38">
        <v>0</v>
      </c>
    </row>
    <row r="39" spans="1:3" x14ac:dyDescent="0.25">
      <c r="A39" s="32" t="s">
        <v>130</v>
      </c>
      <c r="B39" s="35">
        <v>1.6311</v>
      </c>
      <c r="C39" s="38">
        <v>0</v>
      </c>
    </row>
    <row r="40" spans="1:3" x14ac:dyDescent="0.25">
      <c r="A40" s="32" t="s">
        <v>131</v>
      </c>
      <c r="B40" s="35">
        <v>2.0341</v>
      </c>
      <c r="C40" s="38">
        <v>0</v>
      </c>
    </row>
    <row r="41" spans="1:3" x14ac:dyDescent="0.25">
      <c r="A41" s="32" t="s">
        <v>132</v>
      </c>
      <c r="B41" s="35">
        <v>2.4502999999999999</v>
      </c>
      <c r="C41" s="118">
        <v>3.9999999999999998E-6</v>
      </c>
    </row>
    <row r="42" spans="1:3" x14ac:dyDescent="0.25">
      <c r="A42" s="46" t="s">
        <v>133</v>
      </c>
      <c r="B42" s="138">
        <v>3.9615</v>
      </c>
      <c r="C42" s="45">
        <v>1.0930420000000001</v>
      </c>
    </row>
    <row r="43" spans="1:3" x14ac:dyDescent="0.25">
      <c r="A43" s="32" t="s">
        <v>134</v>
      </c>
      <c r="B43" s="35">
        <v>4.7876000000000003</v>
      </c>
      <c r="C43" s="38">
        <v>2.240748</v>
      </c>
    </row>
    <row r="44" spans="1:3" x14ac:dyDescent="0.25">
      <c r="A44" s="32" t="s">
        <v>135</v>
      </c>
      <c r="B44" s="35">
        <v>4.1473000000000004</v>
      </c>
      <c r="C44" s="38">
        <v>3.9768999999999999E-2</v>
      </c>
    </row>
  </sheetData>
  <mergeCells count="10">
    <mergeCell ref="A1:A2"/>
    <mergeCell ref="B1:B2"/>
    <mergeCell ref="C1:C2"/>
    <mergeCell ref="E1:E2"/>
    <mergeCell ref="F1:F2"/>
    <mergeCell ref="G1:G2"/>
    <mergeCell ref="H1:H2"/>
    <mergeCell ref="I1:K1"/>
    <mergeCell ref="L1:N1"/>
    <mergeCell ref="O1:Q1"/>
  </mergeCells>
  <conditionalFormatting sqref="K35:K1048576 K27:K32 K1:K25">
    <cfRule type="top10" dxfId="18" priority="9" percent="1" rank="2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66A9-86C5-4B44-B720-CA86E494EFA2}">
  <dimension ref="A1:W34"/>
  <sheetViews>
    <sheetView tabSelected="1" zoomScaleNormal="100" workbookViewId="0">
      <selection activeCell="P6" sqref="P6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7" width="7.7109375" style="34" customWidth="1"/>
    <col min="8" max="8" width="8.7109375" style="137" customWidth="1"/>
    <col min="9" max="9" width="15.140625" style="136" customWidth="1"/>
    <col min="10" max="10" width="7.28515625" style="91" customWidth="1"/>
    <col min="11" max="11" width="7.28515625" style="92" customWidth="1"/>
    <col min="12" max="12" width="7.28515625" style="41" customWidth="1"/>
    <col min="13" max="14" width="7.28515625" style="92" customWidth="1"/>
    <col min="15" max="15" width="7.28515625" style="41" customWidth="1"/>
    <col min="16" max="17" width="7.28515625" style="92" customWidth="1"/>
    <col min="18" max="18" width="7.28515625" style="41" customWidth="1"/>
    <col min="19" max="19" width="7.28515625" style="35" customWidth="1"/>
    <col min="20" max="20" width="13.5703125" style="35" customWidth="1"/>
    <col min="21" max="21" width="10.140625" style="35" bestFit="1" customWidth="1"/>
    <col min="22" max="22" width="11.28515625" style="35" bestFit="1" customWidth="1"/>
    <col min="23" max="23" width="7.28515625" style="32" customWidth="1"/>
    <col min="24" max="16384" width="9.140625" style="32"/>
  </cols>
  <sheetData>
    <row r="1" spans="1:23" s="30" customFormat="1" ht="15" customHeight="1" x14ac:dyDescent="0.25">
      <c r="A1" s="147" t="s">
        <v>111</v>
      </c>
      <c r="B1" s="157" t="s">
        <v>19</v>
      </c>
      <c r="C1" s="149" t="s">
        <v>121</v>
      </c>
      <c r="D1" s="151" t="s">
        <v>98</v>
      </c>
      <c r="E1" s="153" t="s">
        <v>29</v>
      </c>
      <c r="F1" s="153" t="s">
        <v>16</v>
      </c>
      <c r="G1" s="155" t="s">
        <v>169</v>
      </c>
      <c r="H1" s="162" t="s">
        <v>172</v>
      </c>
      <c r="I1" s="159" t="s">
        <v>173</v>
      </c>
      <c r="J1" s="151" t="s">
        <v>2</v>
      </c>
      <c r="K1" s="153"/>
      <c r="L1" s="161"/>
      <c r="M1" s="151" t="s">
        <v>4</v>
      </c>
      <c r="N1" s="153"/>
      <c r="O1" s="161"/>
      <c r="P1" s="151" t="s">
        <v>3</v>
      </c>
      <c r="Q1" s="153"/>
      <c r="R1" s="161"/>
      <c r="T1" s="72"/>
      <c r="U1" s="72"/>
      <c r="V1" s="72"/>
      <c r="W1" s="128"/>
    </row>
    <row r="2" spans="1:23" s="36" customFormat="1" ht="16.5" thickBot="1" x14ac:dyDescent="0.3">
      <c r="A2" s="148"/>
      <c r="B2" s="158"/>
      <c r="C2" s="150"/>
      <c r="D2" s="152"/>
      <c r="E2" s="154"/>
      <c r="F2" s="154"/>
      <c r="G2" s="156"/>
      <c r="H2" s="163"/>
      <c r="I2" s="160"/>
      <c r="J2" s="111" t="s">
        <v>36</v>
      </c>
      <c r="K2" s="110" t="s">
        <v>37</v>
      </c>
      <c r="L2" s="51" t="s">
        <v>49</v>
      </c>
      <c r="M2" s="110" t="s">
        <v>36</v>
      </c>
      <c r="N2" s="110" t="s">
        <v>37</v>
      </c>
      <c r="O2" s="52" t="s">
        <v>50</v>
      </c>
      <c r="P2" s="110" t="s">
        <v>36</v>
      </c>
      <c r="Q2" s="110" t="s">
        <v>37</v>
      </c>
      <c r="R2" s="52" t="s">
        <v>51</v>
      </c>
      <c r="S2" s="129"/>
      <c r="T2" s="144"/>
      <c r="U2" s="144"/>
      <c r="V2" s="144"/>
      <c r="W2" s="127"/>
    </row>
    <row r="3" spans="1:23" s="30" customFormat="1" x14ac:dyDescent="0.25">
      <c r="A3" s="30">
        <v>1064</v>
      </c>
      <c r="B3" s="35"/>
      <c r="C3" s="45" t="s">
        <v>74</v>
      </c>
      <c r="D3" s="82">
        <v>0</v>
      </c>
      <c r="E3" s="31">
        <v>0</v>
      </c>
      <c r="F3" s="31"/>
      <c r="G3" s="84">
        <v>157.88</v>
      </c>
      <c r="H3" s="134">
        <f>G3</f>
        <v>157.88</v>
      </c>
      <c r="I3" s="135">
        <f>G3</f>
        <v>157.88</v>
      </c>
      <c r="J3" s="95">
        <v>0.93500000000000005</v>
      </c>
      <c r="K3" s="96">
        <v>0.372</v>
      </c>
      <c r="L3" s="90">
        <f t="shared" ref="L3:L9" si="0">J3-K3</f>
        <v>0.56300000000000006</v>
      </c>
      <c r="M3" s="96">
        <v>0</v>
      </c>
      <c r="N3" s="96">
        <v>1.2999999999999999E-2</v>
      </c>
      <c r="O3" s="90">
        <f t="shared" ref="O3:O9" si="1">M3-N3</f>
        <v>-1.2999999999999999E-2</v>
      </c>
      <c r="P3" s="96">
        <v>6.5000000000000002E-2</v>
      </c>
      <c r="Q3" s="96">
        <v>0.61499999999999999</v>
      </c>
      <c r="R3" s="90">
        <f t="shared" ref="R3:R9" si="2">P3-Q3</f>
        <v>-0.55000000000000004</v>
      </c>
      <c r="S3" s="132"/>
      <c r="T3" s="133" t="s">
        <v>112</v>
      </c>
      <c r="U3" s="69"/>
      <c r="V3" s="69"/>
    </row>
    <row r="4" spans="1:23" s="30" customFormat="1" x14ac:dyDescent="0.2">
      <c r="A4" s="32" t="s">
        <v>124</v>
      </c>
      <c r="B4" s="35"/>
      <c r="C4" s="38" t="s">
        <v>123</v>
      </c>
      <c r="D4" s="82">
        <v>0</v>
      </c>
      <c r="E4" s="31">
        <v>193.08</v>
      </c>
      <c r="F4" s="31"/>
      <c r="G4" s="84">
        <v>157.9</v>
      </c>
      <c r="H4" s="134">
        <v>157.9</v>
      </c>
      <c r="I4" s="135">
        <v>350.95</v>
      </c>
      <c r="J4" s="95">
        <v>0.95</v>
      </c>
      <c r="K4" s="96">
        <v>0.55800000000000005</v>
      </c>
      <c r="L4" s="90">
        <f t="shared" si="0"/>
        <v>0.3919999999999999</v>
      </c>
      <c r="M4" s="96">
        <v>0</v>
      </c>
      <c r="N4" s="96">
        <v>1.9E-2</v>
      </c>
      <c r="O4" s="90">
        <f t="shared" si="1"/>
        <v>-1.9E-2</v>
      </c>
      <c r="P4" s="96">
        <v>0.05</v>
      </c>
      <c r="Q4" s="96">
        <v>0.42299999999999999</v>
      </c>
      <c r="R4" s="90">
        <f t="shared" si="2"/>
        <v>-0.373</v>
      </c>
      <c r="T4" s="130" t="s">
        <v>113</v>
      </c>
      <c r="U4" s="69"/>
      <c r="V4" s="69"/>
    </row>
    <row r="5" spans="1:23" s="30" customFormat="1" x14ac:dyDescent="0.25">
      <c r="B5" s="35"/>
      <c r="C5" s="38" t="s">
        <v>122</v>
      </c>
      <c r="D5" s="82">
        <v>0</v>
      </c>
      <c r="E5" s="31">
        <v>181.31</v>
      </c>
      <c r="F5" s="31"/>
      <c r="G5" s="84">
        <v>157.9</v>
      </c>
      <c r="H5" s="134">
        <v>157.9</v>
      </c>
      <c r="I5" s="135">
        <v>339.19</v>
      </c>
      <c r="J5" s="95">
        <v>0.93500000000000005</v>
      </c>
      <c r="K5" s="96">
        <v>0.58399999999999996</v>
      </c>
      <c r="L5" s="90">
        <f t="shared" si="0"/>
        <v>0.35100000000000009</v>
      </c>
      <c r="M5" s="96">
        <v>0</v>
      </c>
      <c r="N5" s="96">
        <v>0.02</v>
      </c>
      <c r="O5" s="90">
        <f t="shared" si="1"/>
        <v>-0.02</v>
      </c>
      <c r="P5" s="96">
        <v>6.5000000000000002E-2</v>
      </c>
      <c r="Q5" s="96">
        <v>0.39600000000000002</v>
      </c>
      <c r="R5" s="90">
        <f t="shared" si="2"/>
        <v>-0.33100000000000002</v>
      </c>
      <c r="T5" s="35" t="s">
        <v>114</v>
      </c>
      <c r="U5" s="69"/>
      <c r="V5" s="69"/>
    </row>
    <row r="6" spans="1:23" s="30" customFormat="1" x14ac:dyDescent="0.25">
      <c r="B6" s="35"/>
      <c r="C6" s="38" t="s">
        <v>125</v>
      </c>
      <c r="D6" s="82">
        <v>0</v>
      </c>
      <c r="E6" s="31">
        <v>133.22999999999999</v>
      </c>
      <c r="F6" s="31"/>
      <c r="G6" s="84">
        <v>78.94</v>
      </c>
      <c r="H6" s="134">
        <v>78.94</v>
      </c>
      <c r="I6" s="135">
        <v>212.17</v>
      </c>
      <c r="J6" s="95">
        <v>0.86699999999999999</v>
      </c>
      <c r="K6" s="96">
        <v>0.71</v>
      </c>
      <c r="L6" s="90">
        <f t="shared" si="0"/>
        <v>0.15700000000000003</v>
      </c>
      <c r="M6" s="96">
        <v>0</v>
      </c>
      <c r="N6" s="96">
        <v>8.9999999999999993E-3</v>
      </c>
      <c r="O6" s="90">
        <f t="shared" si="1"/>
        <v>-8.9999999999999993E-3</v>
      </c>
      <c r="P6" s="96">
        <v>0.13300000000000001</v>
      </c>
      <c r="Q6" s="96">
        <v>0.28000000000000003</v>
      </c>
      <c r="R6" s="90">
        <f t="shared" si="2"/>
        <v>-0.14700000000000002</v>
      </c>
      <c r="T6" s="131"/>
      <c r="U6" s="69"/>
      <c r="V6" s="69"/>
    </row>
    <row r="7" spans="1:23" x14ac:dyDescent="0.25">
      <c r="C7" s="81" t="s">
        <v>105</v>
      </c>
      <c r="D7" s="44">
        <v>115.17</v>
      </c>
      <c r="E7" s="34">
        <v>0</v>
      </c>
      <c r="G7" s="84">
        <v>78.94</v>
      </c>
      <c r="H7" s="134">
        <f t="shared" ref="H7:H17" si="3">G7</f>
        <v>78.94</v>
      </c>
      <c r="I7" s="136">
        <f>D7+G7</f>
        <v>194.11</v>
      </c>
      <c r="J7" s="91">
        <v>0.93300000000000005</v>
      </c>
      <c r="K7" s="92">
        <v>0.76900000000000002</v>
      </c>
      <c r="L7" s="90">
        <f t="shared" si="0"/>
        <v>0.16400000000000003</v>
      </c>
      <c r="M7" s="92">
        <v>0</v>
      </c>
      <c r="N7" s="92">
        <v>0.01</v>
      </c>
      <c r="O7" s="90">
        <f t="shared" si="1"/>
        <v>-0.01</v>
      </c>
      <c r="P7" s="92">
        <v>6.7000000000000004E-2</v>
      </c>
      <c r="Q7" s="92">
        <v>0.221</v>
      </c>
      <c r="R7" s="90">
        <f t="shared" si="2"/>
        <v>-0.154</v>
      </c>
    </row>
    <row r="8" spans="1:23" x14ac:dyDescent="0.25">
      <c r="B8" s="71" t="s">
        <v>106</v>
      </c>
      <c r="C8" s="38" t="s">
        <v>105</v>
      </c>
      <c r="D8" s="126">
        <v>162.07</v>
      </c>
      <c r="E8" s="34">
        <v>0</v>
      </c>
      <c r="G8" s="84">
        <v>32.880000000000003</v>
      </c>
      <c r="H8" s="134">
        <f t="shared" si="3"/>
        <v>32.880000000000003</v>
      </c>
      <c r="I8" s="136">
        <f>D8+G8</f>
        <v>194.95</v>
      </c>
      <c r="J8" s="91">
        <v>0.96599999999999997</v>
      </c>
      <c r="K8" s="92">
        <v>0.82799999999999996</v>
      </c>
      <c r="L8" s="90">
        <f>J8-K8</f>
        <v>0.13800000000000001</v>
      </c>
      <c r="M8" s="92">
        <v>0</v>
      </c>
      <c r="N8" s="92">
        <v>8.0000000000000004E-4</v>
      </c>
      <c r="O8" s="90">
        <f>M8-N8</f>
        <v>-8.0000000000000004E-4</v>
      </c>
      <c r="P8" s="92">
        <v>3.4000000000000002E-2</v>
      </c>
      <c r="Q8" s="92">
        <v>0.16400000000000001</v>
      </c>
      <c r="R8" s="90">
        <f>P8-Q8</f>
        <v>-0.13</v>
      </c>
      <c r="T8" s="142" t="s">
        <v>113</v>
      </c>
      <c r="U8" s="69" t="s">
        <v>82</v>
      </c>
      <c r="V8" s="69" t="s">
        <v>83</v>
      </c>
    </row>
    <row r="9" spans="1:23" x14ac:dyDescent="0.25">
      <c r="B9" s="71" t="s">
        <v>106</v>
      </c>
      <c r="C9" s="38" t="s">
        <v>105</v>
      </c>
      <c r="D9" s="126">
        <v>125</v>
      </c>
      <c r="E9" s="34">
        <v>0</v>
      </c>
      <c r="G9" s="84">
        <v>68.260000000000005</v>
      </c>
      <c r="H9" s="134">
        <f t="shared" si="3"/>
        <v>68.260000000000005</v>
      </c>
      <c r="I9" s="136">
        <f>D9+G9</f>
        <v>193.26</v>
      </c>
      <c r="J9" s="91">
        <v>0.93600000000000005</v>
      </c>
      <c r="K9" s="92">
        <v>0.73799999999999999</v>
      </c>
      <c r="L9" s="90">
        <f t="shared" si="0"/>
        <v>0.19800000000000006</v>
      </c>
      <c r="M9" s="92">
        <v>0</v>
      </c>
      <c r="N9" s="92">
        <v>8.9999999999999993E-3</v>
      </c>
      <c r="O9" s="90">
        <f t="shared" si="1"/>
        <v>-8.9999999999999993E-3</v>
      </c>
      <c r="P9" s="92">
        <v>6.4000000000000001E-2</v>
      </c>
      <c r="Q9" s="92">
        <v>0.252</v>
      </c>
      <c r="R9" s="90">
        <f t="shared" si="2"/>
        <v>-0.188</v>
      </c>
      <c r="T9" s="35" t="s">
        <v>128</v>
      </c>
      <c r="U9" s="35">
        <v>1.3776999999999999</v>
      </c>
      <c r="V9" s="35">
        <v>0</v>
      </c>
    </row>
    <row r="10" spans="1:23" x14ac:dyDescent="0.25">
      <c r="B10" s="71"/>
      <c r="D10" s="126"/>
      <c r="G10" s="84"/>
      <c r="H10" s="134"/>
      <c r="L10" s="90"/>
      <c r="O10" s="90"/>
      <c r="R10" s="90"/>
      <c r="T10" s="35" t="s">
        <v>129</v>
      </c>
      <c r="U10" s="35">
        <v>1.4671000000000001</v>
      </c>
      <c r="V10" s="35">
        <v>0</v>
      </c>
    </row>
    <row r="11" spans="1:23" x14ac:dyDescent="0.25">
      <c r="C11" s="81" t="s">
        <v>126</v>
      </c>
      <c r="D11" s="44">
        <v>115.17</v>
      </c>
      <c r="E11" s="34">
        <v>386.15</v>
      </c>
      <c r="G11" s="34">
        <v>78.900000000000006</v>
      </c>
      <c r="H11" s="137">
        <v>78.900000000000006</v>
      </c>
      <c r="I11" s="136">
        <v>580.26</v>
      </c>
      <c r="J11" s="91">
        <v>0.93300000000000005</v>
      </c>
      <c r="K11" s="92">
        <v>0.76900000000000002</v>
      </c>
      <c r="L11" s="90">
        <f>J11-K11</f>
        <v>0.16400000000000003</v>
      </c>
      <c r="M11" s="92">
        <v>0</v>
      </c>
      <c r="N11" s="92">
        <v>0.01</v>
      </c>
      <c r="O11" s="90">
        <f>M11-N11</f>
        <v>-0.01</v>
      </c>
      <c r="P11" s="92">
        <v>6.7000000000000004E-2</v>
      </c>
      <c r="Q11" s="92">
        <v>0.22</v>
      </c>
      <c r="R11" s="90">
        <f>P11-Q11</f>
        <v>-0.153</v>
      </c>
      <c r="T11" s="35" t="s">
        <v>130</v>
      </c>
      <c r="U11" s="35">
        <v>1.6165</v>
      </c>
      <c r="V11" s="35">
        <v>0</v>
      </c>
    </row>
    <row r="12" spans="1:23" x14ac:dyDescent="0.25">
      <c r="C12" s="38" t="s">
        <v>104</v>
      </c>
      <c r="D12" s="44">
        <v>149.63999999999999</v>
      </c>
      <c r="E12" s="34">
        <v>115.17</v>
      </c>
      <c r="G12" s="84">
        <v>78.94</v>
      </c>
      <c r="H12" s="134">
        <f>G12</f>
        <v>78.94</v>
      </c>
      <c r="I12" s="136">
        <f>SUM(D12:G12)</f>
        <v>343.75</v>
      </c>
      <c r="J12" s="91">
        <v>0.93500000000000005</v>
      </c>
      <c r="K12" s="92">
        <v>0.76900000000000002</v>
      </c>
      <c r="L12" s="90">
        <f>J12-K12</f>
        <v>0.16600000000000004</v>
      </c>
      <c r="M12" s="92">
        <v>0</v>
      </c>
      <c r="N12" s="92">
        <v>1.0999999999999999E-2</v>
      </c>
      <c r="O12" s="90">
        <f>M12-N12</f>
        <v>-1.0999999999999999E-2</v>
      </c>
      <c r="P12" s="92">
        <v>6.7000000000000004E-2</v>
      </c>
      <c r="Q12" s="92">
        <v>0.221</v>
      </c>
      <c r="R12" s="90">
        <f>P12-Q12</f>
        <v>-0.154</v>
      </c>
      <c r="T12" s="35" t="s">
        <v>131</v>
      </c>
      <c r="U12" s="35">
        <v>1.9965999999999999</v>
      </c>
      <c r="V12" s="35">
        <v>0</v>
      </c>
    </row>
    <row r="13" spans="1:23" x14ac:dyDescent="0.25">
      <c r="A13" s="30"/>
      <c r="G13" s="84"/>
      <c r="H13" s="134"/>
      <c r="T13" s="35" t="s">
        <v>132</v>
      </c>
      <c r="U13" s="35">
        <v>2.3096999999999999</v>
      </c>
      <c r="V13" s="143">
        <v>0</v>
      </c>
    </row>
    <row r="14" spans="1:23" x14ac:dyDescent="0.25">
      <c r="B14" s="35" t="s">
        <v>100</v>
      </c>
      <c r="C14" s="38" t="s">
        <v>103</v>
      </c>
      <c r="D14" s="44">
        <v>181.31</v>
      </c>
      <c r="E14" s="34">
        <v>193.08</v>
      </c>
      <c r="G14" s="84">
        <v>157.88</v>
      </c>
      <c r="H14" s="134">
        <f t="shared" si="3"/>
        <v>157.88</v>
      </c>
      <c r="I14" s="136">
        <f>SUM(D14:G14)</f>
        <v>532.27</v>
      </c>
      <c r="J14" s="91">
        <v>0.95</v>
      </c>
      <c r="K14" s="92">
        <v>0.55800000000000005</v>
      </c>
      <c r="L14" s="90">
        <f>J14-K14</f>
        <v>0.3919999999999999</v>
      </c>
      <c r="M14" s="92">
        <v>0</v>
      </c>
      <c r="N14" s="92">
        <v>1.9E-2</v>
      </c>
      <c r="O14" s="90">
        <f>M14-N14</f>
        <v>-1.9E-2</v>
      </c>
      <c r="P14" s="92">
        <v>0.05</v>
      </c>
      <c r="Q14" s="92">
        <v>0.42299999999999999</v>
      </c>
      <c r="R14" s="90">
        <f>P14-Q14</f>
        <v>-0.373</v>
      </c>
      <c r="T14" s="138" t="s">
        <v>133</v>
      </c>
      <c r="U14" s="138">
        <v>3.3696739999999998</v>
      </c>
      <c r="V14" s="138">
        <v>0</v>
      </c>
    </row>
    <row r="15" spans="1:23" x14ac:dyDescent="0.25">
      <c r="A15" s="30"/>
      <c r="B15" s="35" t="s">
        <v>100</v>
      </c>
      <c r="C15" s="38" t="s">
        <v>102</v>
      </c>
      <c r="D15" s="44">
        <v>164.55</v>
      </c>
      <c r="E15" s="34">
        <v>193.08</v>
      </c>
      <c r="G15" s="84">
        <f>G14</f>
        <v>157.88</v>
      </c>
      <c r="H15" s="134">
        <f t="shared" si="3"/>
        <v>157.88</v>
      </c>
      <c r="I15" s="136">
        <f>SUM(D15:G15)</f>
        <v>515.51</v>
      </c>
      <c r="J15" s="91">
        <v>0.96599999999999997</v>
      </c>
      <c r="K15" s="92">
        <v>0.627</v>
      </c>
      <c r="L15" s="90">
        <f>J15-K15</f>
        <v>0.33899999999999997</v>
      </c>
      <c r="M15" s="92">
        <v>0</v>
      </c>
      <c r="N15" s="92">
        <v>1.7999999999999999E-2</v>
      </c>
      <c r="O15" s="90">
        <f>M15-N15</f>
        <v>-1.7999999999999999E-2</v>
      </c>
      <c r="P15" s="92">
        <v>3.4000000000000002E-2</v>
      </c>
      <c r="Q15" s="92">
        <v>0.35399999999999998</v>
      </c>
      <c r="R15" s="90">
        <f>P15-Q15</f>
        <v>-0.31999999999999995</v>
      </c>
      <c r="T15" s="35" t="s">
        <v>134</v>
      </c>
      <c r="U15" s="35">
        <v>4.3080999999999996</v>
      </c>
      <c r="V15" s="35">
        <v>9.7441000000000003E-3</v>
      </c>
    </row>
    <row r="16" spans="1:23" x14ac:dyDescent="0.25">
      <c r="B16" s="35" t="s">
        <v>100</v>
      </c>
      <c r="C16" s="81" t="s">
        <v>101</v>
      </c>
      <c r="D16" s="44">
        <v>133.22999999999999</v>
      </c>
      <c r="E16" s="34">
        <v>164.55</v>
      </c>
      <c r="G16" s="84">
        <f>G15</f>
        <v>157.88</v>
      </c>
      <c r="H16" s="134">
        <f t="shared" si="3"/>
        <v>157.88</v>
      </c>
      <c r="I16" s="136">
        <f>SUM(D16:G16)</f>
        <v>455.65999999999997</v>
      </c>
      <c r="J16" s="91">
        <v>0.96599999999999997</v>
      </c>
      <c r="K16" s="92">
        <v>0.83299999999999996</v>
      </c>
      <c r="L16" s="90">
        <f>J16-K16</f>
        <v>0.13300000000000001</v>
      </c>
      <c r="M16" s="92">
        <v>0</v>
      </c>
      <c r="N16" s="92">
        <v>1.9E-2</v>
      </c>
      <c r="O16" s="90">
        <f>M16-N16</f>
        <v>-1.9E-2</v>
      </c>
      <c r="P16" s="92">
        <v>3.4000000000000002E-2</v>
      </c>
      <c r="Q16" s="92">
        <v>0.14799999999999999</v>
      </c>
      <c r="R16" s="90">
        <f>P16-Q16</f>
        <v>-0.11399999999999999</v>
      </c>
      <c r="T16" s="35" t="s">
        <v>135</v>
      </c>
      <c r="U16" s="35">
        <v>3.9016999999999999</v>
      </c>
      <c r="V16" s="35">
        <v>0</v>
      </c>
    </row>
    <row r="17" spans="1:22" x14ac:dyDescent="0.25">
      <c r="B17" s="35" t="s">
        <v>100</v>
      </c>
      <c r="C17" s="38" t="s">
        <v>99</v>
      </c>
      <c r="D17" s="44">
        <v>115.17</v>
      </c>
      <c r="E17" s="34">
        <v>133.22999999999999</v>
      </c>
      <c r="G17" s="84">
        <f>G16</f>
        <v>157.88</v>
      </c>
      <c r="H17" s="134">
        <f t="shared" si="3"/>
        <v>157.88</v>
      </c>
      <c r="I17" s="136">
        <f>SUM(D17:G17)</f>
        <v>406.28</v>
      </c>
      <c r="J17" s="91">
        <v>0.96499999999999997</v>
      </c>
      <c r="K17" s="92">
        <v>0.94099999999999995</v>
      </c>
      <c r="L17" s="90">
        <f>J17-K17</f>
        <v>2.4000000000000021E-2</v>
      </c>
      <c r="M17" s="92">
        <v>0</v>
      </c>
      <c r="N17" s="92">
        <v>1.9E-2</v>
      </c>
      <c r="O17" s="90">
        <f>M17-N17</f>
        <v>-1.9E-2</v>
      </c>
      <c r="P17" s="92">
        <v>3.5000000000000003E-2</v>
      </c>
      <c r="Q17" s="92">
        <v>0.04</v>
      </c>
      <c r="R17" s="90">
        <f>P17-Q17</f>
        <v>-4.9999999999999975E-3</v>
      </c>
    </row>
    <row r="18" spans="1:22" x14ac:dyDescent="0.25">
      <c r="L18" s="90"/>
      <c r="O18" s="90"/>
      <c r="R18" s="90"/>
      <c r="T18" s="35" t="s">
        <v>166</v>
      </c>
      <c r="U18" s="35">
        <v>4.4375999999999998</v>
      </c>
      <c r="V18" s="35">
        <v>0.49270599999999998</v>
      </c>
    </row>
    <row r="19" spans="1:22" x14ac:dyDescent="0.25">
      <c r="A19" s="32">
        <v>750</v>
      </c>
      <c r="B19" s="35" t="s">
        <v>137</v>
      </c>
      <c r="C19" s="38" t="s">
        <v>110</v>
      </c>
      <c r="D19" s="44">
        <v>0</v>
      </c>
      <c r="E19" s="34">
        <v>135.84</v>
      </c>
      <c r="G19" s="34">
        <v>49.49</v>
      </c>
      <c r="H19" s="137">
        <f>G19</f>
        <v>49.49</v>
      </c>
      <c r="I19" s="136">
        <v>185.33</v>
      </c>
      <c r="J19" s="91">
        <v>0.93300000000000005</v>
      </c>
      <c r="K19" s="92">
        <v>0.501</v>
      </c>
      <c r="L19" s="90">
        <f t="shared" ref="L19:L25" si="4">J19-K19</f>
        <v>0.43200000000000005</v>
      </c>
      <c r="M19" s="92">
        <v>0</v>
      </c>
      <c r="N19" s="92">
        <v>1.4999999999999999E-2</v>
      </c>
      <c r="O19" s="90">
        <f t="shared" ref="O19:O34" si="5">M19-N19</f>
        <v>-1.4999999999999999E-2</v>
      </c>
      <c r="P19" s="92">
        <v>6.7000000000000004E-2</v>
      </c>
      <c r="Q19" s="92">
        <v>0.48399999999999999</v>
      </c>
      <c r="R19" s="90">
        <f t="shared" ref="R19:R25" si="6">P19-Q19</f>
        <v>-0.41699999999999998</v>
      </c>
      <c r="T19" s="35" t="s">
        <v>167</v>
      </c>
      <c r="U19" s="35">
        <v>6.0743999999999998</v>
      </c>
      <c r="V19" s="35">
        <v>2.4540289999999998</v>
      </c>
    </row>
    <row r="20" spans="1:22" x14ac:dyDescent="0.25">
      <c r="B20" s="35" t="s">
        <v>137</v>
      </c>
      <c r="C20" s="38" t="s">
        <v>117</v>
      </c>
      <c r="D20" s="44">
        <v>0</v>
      </c>
      <c r="E20" s="34">
        <v>135.84</v>
      </c>
      <c r="G20" s="34">
        <v>49.49</v>
      </c>
      <c r="H20" s="137">
        <v>98.99</v>
      </c>
      <c r="I20" s="136">
        <v>370.67</v>
      </c>
      <c r="J20" s="91">
        <v>0.93100000000000005</v>
      </c>
      <c r="K20" s="92">
        <v>0.13300000000000001</v>
      </c>
      <c r="L20" s="90">
        <f t="shared" si="4"/>
        <v>0.79800000000000004</v>
      </c>
      <c r="M20" s="92">
        <v>0</v>
      </c>
      <c r="N20" s="92">
        <v>1.7999999999999999E-2</v>
      </c>
      <c r="O20" s="90">
        <f t="shared" si="5"/>
        <v>-1.7999999999999999E-2</v>
      </c>
      <c r="P20" s="92">
        <v>6.9000000000000006E-2</v>
      </c>
      <c r="Q20" s="92">
        <v>0.84799999999999998</v>
      </c>
      <c r="R20" s="90">
        <f t="shared" si="6"/>
        <v>-0.77899999999999991</v>
      </c>
    </row>
    <row r="21" spans="1:22" x14ac:dyDescent="0.25">
      <c r="B21" s="35" t="s">
        <v>137</v>
      </c>
      <c r="C21" s="38" t="s">
        <v>156</v>
      </c>
      <c r="D21" s="44">
        <v>0</v>
      </c>
      <c r="E21" s="34">
        <v>135.84</v>
      </c>
      <c r="G21" s="34">
        <v>49.49</v>
      </c>
      <c r="H21" s="137">
        <f>G21*3</f>
        <v>148.47</v>
      </c>
      <c r="I21" s="136">
        <v>556</v>
      </c>
      <c r="J21" s="91">
        <v>0.93</v>
      </c>
      <c r="K21" s="92">
        <v>2.9000000000000001E-2</v>
      </c>
      <c r="L21" s="90">
        <f t="shared" si="4"/>
        <v>0.90100000000000002</v>
      </c>
      <c r="M21" s="92">
        <v>0</v>
      </c>
      <c r="N21" s="92">
        <v>1.9E-2</v>
      </c>
      <c r="O21" s="90">
        <f t="shared" si="5"/>
        <v>-1.9E-2</v>
      </c>
      <c r="P21" s="92">
        <v>7.0000000000000007E-2</v>
      </c>
      <c r="Q21" s="92">
        <v>0.95199999999999996</v>
      </c>
      <c r="R21" s="90">
        <f t="shared" si="6"/>
        <v>-0.8819999999999999</v>
      </c>
      <c r="T21" s="35" t="s">
        <v>175</v>
      </c>
      <c r="U21" s="35">
        <v>2.7486000000000002</v>
      </c>
      <c r="V21" s="35">
        <v>0.47835699999999998</v>
      </c>
    </row>
    <row r="22" spans="1:22" x14ac:dyDescent="0.25">
      <c r="B22" s="35" t="s">
        <v>137</v>
      </c>
      <c r="C22" s="81" t="s">
        <v>118</v>
      </c>
      <c r="D22" s="44">
        <v>0</v>
      </c>
      <c r="E22" s="34">
        <v>135.80000000000001</v>
      </c>
      <c r="G22" s="34">
        <v>49.49</v>
      </c>
      <c r="H22" s="137">
        <f>G22*4</f>
        <v>197.96</v>
      </c>
      <c r="I22" s="136">
        <v>741.33</v>
      </c>
      <c r="J22" s="91">
        <v>0.93300000000000005</v>
      </c>
      <c r="K22" s="92">
        <v>6.0000000000000001E-3</v>
      </c>
      <c r="L22" s="90">
        <f t="shared" si="4"/>
        <v>0.92700000000000005</v>
      </c>
      <c r="M22" s="92">
        <v>0</v>
      </c>
      <c r="N22" s="92">
        <v>1.9E-2</v>
      </c>
      <c r="O22" s="90">
        <f t="shared" si="5"/>
        <v>-1.9E-2</v>
      </c>
      <c r="P22" s="92">
        <v>6.7000000000000004E-2</v>
      </c>
      <c r="Q22" s="92">
        <v>0.97499999999999998</v>
      </c>
      <c r="R22" s="42">
        <f t="shared" si="6"/>
        <v>-0.90799999999999992</v>
      </c>
      <c r="T22" s="35" t="s">
        <v>176</v>
      </c>
      <c r="U22" s="35">
        <v>1.3346</v>
      </c>
      <c r="V22" s="35">
        <v>1.4580230000000001</v>
      </c>
    </row>
    <row r="23" spans="1:22" x14ac:dyDescent="0.25">
      <c r="B23" s="35" t="s">
        <v>137</v>
      </c>
      <c r="C23" s="38" t="s">
        <v>127</v>
      </c>
      <c r="D23" s="44">
        <v>0</v>
      </c>
      <c r="E23" s="34">
        <v>135.80000000000001</v>
      </c>
      <c r="G23" s="34">
        <v>49.49</v>
      </c>
      <c r="H23" s="137">
        <f>G23*5</f>
        <v>247.45000000000002</v>
      </c>
      <c r="I23" s="136">
        <v>926.67</v>
      </c>
      <c r="J23" s="91">
        <v>0.93500000000000005</v>
      </c>
      <c r="K23" s="92">
        <v>1E-3</v>
      </c>
      <c r="L23" s="90">
        <f t="shared" si="4"/>
        <v>0.93400000000000005</v>
      </c>
      <c r="M23" s="92">
        <v>1.9E-2</v>
      </c>
      <c r="N23" s="92">
        <v>1.9E-2</v>
      </c>
      <c r="O23" s="90">
        <f t="shared" si="5"/>
        <v>0</v>
      </c>
      <c r="P23" s="92">
        <v>6.5000000000000002E-2</v>
      </c>
      <c r="Q23" s="92">
        <v>0.98</v>
      </c>
      <c r="R23" s="42">
        <f t="shared" si="6"/>
        <v>-0.91500000000000004</v>
      </c>
    </row>
    <row r="24" spans="1:22" x14ac:dyDescent="0.25">
      <c r="B24" s="35" t="s">
        <v>137</v>
      </c>
      <c r="C24" s="81" t="s">
        <v>120</v>
      </c>
      <c r="D24" s="44">
        <v>0</v>
      </c>
      <c r="E24" s="34">
        <v>135.84</v>
      </c>
      <c r="G24" s="34">
        <v>49.49</v>
      </c>
      <c r="H24" s="137">
        <f>G24*6</f>
        <v>296.94</v>
      </c>
      <c r="I24" s="136">
        <v>1112</v>
      </c>
      <c r="J24" s="91">
        <v>0.93300000000000005</v>
      </c>
      <c r="K24" s="92">
        <v>0</v>
      </c>
      <c r="L24" s="90">
        <f t="shared" si="4"/>
        <v>0.93300000000000005</v>
      </c>
      <c r="M24" s="92">
        <v>0</v>
      </c>
      <c r="N24" s="92">
        <v>1.9E-2</v>
      </c>
      <c r="O24" s="90">
        <f t="shared" si="5"/>
        <v>-1.9E-2</v>
      </c>
      <c r="P24" s="92">
        <v>6.7000000000000004E-2</v>
      </c>
      <c r="Q24" s="92">
        <v>0.98099999999999998</v>
      </c>
      <c r="R24" s="90">
        <f t="shared" si="6"/>
        <v>-0.91399999999999992</v>
      </c>
    </row>
    <row r="25" spans="1:22" x14ac:dyDescent="0.25">
      <c r="B25" s="35" t="s">
        <v>137</v>
      </c>
      <c r="C25" s="38" t="s">
        <v>119</v>
      </c>
      <c r="D25" s="44">
        <v>0</v>
      </c>
      <c r="E25" s="34">
        <v>135.84</v>
      </c>
      <c r="G25" s="34">
        <v>49.49</v>
      </c>
      <c r="H25" s="137">
        <f>G25*8</f>
        <v>395.92</v>
      </c>
      <c r="I25" s="136">
        <v>1482.67</v>
      </c>
      <c r="J25" s="91">
        <v>0.93</v>
      </c>
      <c r="K25" s="92">
        <v>0</v>
      </c>
      <c r="L25" s="90">
        <f t="shared" si="4"/>
        <v>0.93</v>
      </c>
      <c r="M25" s="92">
        <v>0</v>
      </c>
      <c r="N25" s="92">
        <v>1.9E-2</v>
      </c>
      <c r="O25" s="90">
        <f t="shared" si="5"/>
        <v>-1.9E-2</v>
      </c>
      <c r="P25" s="92">
        <v>7.0000000000000007E-2</v>
      </c>
      <c r="Q25" s="92">
        <v>0.98099999999999998</v>
      </c>
      <c r="R25" s="90">
        <f t="shared" si="6"/>
        <v>-0.91100000000000003</v>
      </c>
    </row>
    <row r="26" spans="1:22" x14ac:dyDescent="0.25">
      <c r="L26" s="90"/>
      <c r="O26" s="90"/>
      <c r="R26" s="90"/>
    </row>
    <row r="27" spans="1:22" x14ac:dyDescent="0.25">
      <c r="A27" s="32">
        <v>1064</v>
      </c>
      <c r="B27" s="35" t="s">
        <v>158</v>
      </c>
      <c r="C27" s="38" t="s">
        <v>160</v>
      </c>
      <c r="D27" s="44">
        <v>115.17</v>
      </c>
      <c r="E27" s="34">
        <v>181.31</v>
      </c>
      <c r="G27" s="34">
        <v>99.9</v>
      </c>
      <c r="H27" s="137">
        <f>G27</f>
        <v>99.9</v>
      </c>
      <c r="I27" s="136">
        <v>808.02</v>
      </c>
      <c r="J27" s="91">
        <v>0.93500000000000005</v>
      </c>
      <c r="K27" s="92">
        <v>0.51200000000000001</v>
      </c>
      <c r="L27" s="90">
        <f t="shared" ref="L27:L34" si="7">J27-K27</f>
        <v>0.42300000000000004</v>
      </c>
      <c r="M27" s="92">
        <v>0</v>
      </c>
      <c r="N27" s="92">
        <v>1.2999999999999999E-2</v>
      </c>
      <c r="O27" s="90">
        <f t="shared" si="5"/>
        <v>-1.2999999999999999E-2</v>
      </c>
      <c r="P27" s="92">
        <v>6.5000000000000002E-2</v>
      </c>
      <c r="Q27" s="92">
        <v>0.47499999999999998</v>
      </c>
      <c r="R27" s="90">
        <f t="shared" ref="R27:R34" si="8">P27-Q27</f>
        <v>-0.41</v>
      </c>
    </row>
    <row r="28" spans="1:22" x14ac:dyDescent="0.25">
      <c r="A28" s="35" t="s">
        <v>159</v>
      </c>
      <c r="C28" s="38" t="s">
        <v>162</v>
      </c>
      <c r="D28" s="44">
        <v>115.17</v>
      </c>
      <c r="E28" s="34">
        <v>181.31</v>
      </c>
      <c r="G28" s="34">
        <v>100</v>
      </c>
      <c r="H28" s="137">
        <f>G28</f>
        <v>100</v>
      </c>
      <c r="I28" s="136">
        <v>1104.5999999999999</v>
      </c>
      <c r="J28" s="91">
        <v>0.89500000000000002</v>
      </c>
      <c r="K28" s="92">
        <v>0.27100000000000002</v>
      </c>
      <c r="L28" s="90">
        <f t="shared" si="7"/>
        <v>0.624</v>
      </c>
      <c r="M28" s="92">
        <v>0</v>
      </c>
      <c r="N28" s="92">
        <v>1.6E-2</v>
      </c>
      <c r="O28" s="90">
        <f t="shared" si="5"/>
        <v>-1.6E-2</v>
      </c>
      <c r="P28" s="92">
        <v>0.105</v>
      </c>
      <c r="Q28" s="92">
        <v>0.71299999999999997</v>
      </c>
      <c r="R28" s="90">
        <f t="shared" si="8"/>
        <v>-0.60799999999999998</v>
      </c>
    </row>
    <row r="29" spans="1:22" x14ac:dyDescent="0.25">
      <c r="A29" s="35" t="s">
        <v>161</v>
      </c>
      <c r="C29" s="38" t="s">
        <v>164</v>
      </c>
      <c r="D29" s="44">
        <v>115.17</v>
      </c>
      <c r="E29" s="34">
        <v>181.31</v>
      </c>
      <c r="F29" s="34">
        <v>75.7</v>
      </c>
      <c r="G29" s="34">
        <v>31.6</v>
      </c>
      <c r="H29" s="137">
        <f>G29</f>
        <v>31.6</v>
      </c>
      <c r="I29" s="136">
        <v>815.3</v>
      </c>
      <c r="J29" s="91">
        <v>0.96599999999999997</v>
      </c>
      <c r="K29" s="92">
        <v>0.83699999999999997</v>
      </c>
      <c r="L29" s="90">
        <f t="shared" si="7"/>
        <v>0.129</v>
      </c>
      <c r="M29" s="92">
        <v>0</v>
      </c>
      <c r="N29" s="92">
        <v>8.0000000000000002E-3</v>
      </c>
      <c r="O29" s="90">
        <f t="shared" si="5"/>
        <v>-8.0000000000000002E-3</v>
      </c>
      <c r="P29" s="92">
        <v>3.4000000000000002E-2</v>
      </c>
      <c r="Q29" s="92">
        <v>0.155</v>
      </c>
      <c r="R29" s="90">
        <f t="shared" si="8"/>
        <v>-0.121</v>
      </c>
    </row>
    <row r="30" spans="1:22" x14ac:dyDescent="0.25">
      <c r="A30" s="35" t="s">
        <v>138</v>
      </c>
      <c r="C30" s="38" t="s">
        <v>163</v>
      </c>
      <c r="D30" s="44">
        <v>115.17</v>
      </c>
      <c r="E30" s="34">
        <v>181.31</v>
      </c>
      <c r="F30" s="34">
        <v>74.8</v>
      </c>
      <c r="G30" s="34">
        <v>31.9</v>
      </c>
      <c r="H30" s="137">
        <f>G30</f>
        <v>31.9</v>
      </c>
      <c r="I30" s="136">
        <v>1454.83</v>
      </c>
      <c r="J30" s="91">
        <v>0.96599999999999997</v>
      </c>
      <c r="K30" s="92">
        <v>0.498</v>
      </c>
      <c r="L30" s="90">
        <f t="shared" si="7"/>
        <v>0.46799999999999997</v>
      </c>
      <c r="M30" s="92">
        <v>0</v>
      </c>
      <c r="N30" s="92">
        <v>1.2E-2</v>
      </c>
      <c r="O30" s="90">
        <f t="shared" si="5"/>
        <v>-1.2E-2</v>
      </c>
      <c r="P30" s="92">
        <v>3.4000000000000002E-2</v>
      </c>
      <c r="Q30" s="92">
        <v>0.49</v>
      </c>
      <c r="R30" s="90">
        <f t="shared" si="8"/>
        <v>-0.45599999999999996</v>
      </c>
    </row>
    <row r="31" spans="1:22" x14ac:dyDescent="0.25">
      <c r="C31" s="81" t="s">
        <v>165</v>
      </c>
      <c r="D31" s="44">
        <v>115.17</v>
      </c>
      <c r="E31" s="34">
        <v>181.31</v>
      </c>
      <c r="F31" s="34">
        <v>74.7</v>
      </c>
      <c r="G31" s="34">
        <v>32</v>
      </c>
      <c r="H31" s="137">
        <f>G31</f>
        <v>32</v>
      </c>
      <c r="I31" s="136">
        <v>2071.3200000000002</v>
      </c>
      <c r="J31" s="91">
        <v>0.96499999999999997</v>
      </c>
      <c r="K31" s="92">
        <v>0.11700000000000001</v>
      </c>
      <c r="L31" s="90">
        <f t="shared" si="7"/>
        <v>0.84799999999999998</v>
      </c>
      <c r="M31" s="92">
        <v>0</v>
      </c>
      <c r="N31" s="92">
        <v>7.0000000000000001E-3</v>
      </c>
      <c r="O31" s="90">
        <f t="shared" si="5"/>
        <v>-7.0000000000000001E-3</v>
      </c>
      <c r="P31" s="92">
        <v>3.5000000000000003E-2</v>
      </c>
      <c r="Q31" s="92">
        <v>0.875</v>
      </c>
      <c r="R31" s="90">
        <f t="shared" si="8"/>
        <v>-0.84</v>
      </c>
    </row>
    <row r="33" spans="3:18" x14ac:dyDescent="0.25">
      <c r="C33" s="37" t="s">
        <v>168</v>
      </c>
      <c r="D33" s="44">
        <v>0</v>
      </c>
      <c r="E33" s="34">
        <v>0</v>
      </c>
      <c r="G33" s="34">
        <v>119.88</v>
      </c>
      <c r="H33" s="137">
        <f>G33</f>
        <v>119.88</v>
      </c>
      <c r="I33" s="136">
        <f>H33</f>
        <v>119.88</v>
      </c>
      <c r="J33" s="91">
        <v>0.30399999999999999</v>
      </c>
      <c r="K33" s="92">
        <v>8.0000000000000002E-3</v>
      </c>
      <c r="L33" s="90">
        <f t="shared" si="7"/>
        <v>0.29599999999999999</v>
      </c>
      <c r="M33" s="92">
        <v>0.48599999999999999</v>
      </c>
      <c r="N33" s="92">
        <v>0.41799999999999998</v>
      </c>
      <c r="O33" s="90">
        <f t="shared" si="5"/>
        <v>6.8000000000000005E-2</v>
      </c>
      <c r="P33" s="92">
        <v>0.20899999999999999</v>
      </c>
      <c r="Q33" s="92">
        <v>0.57399999999999995</v>
      </c>
      <c r="R33" s="90">
        <f t="shared" si="8"/>
        <v>-0.36499999999999999</v>
      </c>
    </row>
    <row r="34" spans="3:18" x14ac:dyDescent="0.25">
      <c r="C34" s="146" t="s">
        <v>174</v>
      </c>
      <c r="D34" s="44">
        <v>0</v>
      </c>
      <c r="E34" s="34">
        <v>0</v>
      </c>
      <c r="G34" s="34">
        <v>192.2</v>
      </c>
      <c r="H34" s="137">
        <f>G34</f>
        <v>192.2</v>
      </c>
      <c r="I34" s="136">
        <f>H34</f>
        <v>192.2</v>
      </c>
      <c r="J34" s="91">
        <v>0.25600000000000001</v>
      </c>
      <c r="K34" s="92">
        <v>4.2999999999999997E-2</v>
      </c>
      <c r="L34" s="41">
        <f t="shared" si="7"/>
        <v>0.21300000000000002</v>
      </c>
      <c r="M34" s="92">
        <v>0.59</v>
      </c>
      <c r="N34" s="92">
        <v>0.64100000000000001</v>
      </c>
      <c r="O34" s="41">
        <f t="shared" si="5"/>
        <v>-5.1000000000000045E-2</v>
      </c>
      <c r="P34" s="92">
        <v>0.153</v>
      </c>
      <c r="Q34" s="92">
        <v>0.315</v>
      </c>
      <c r="R34" s="41">
        <f t="shared" si="8"/>
        <v>-0.16200000000000001</v>
      </c>
    </row>
  </sheetData>
  <mergeCells count="12">
    <mergeCell ref="I1:I2"/>
    <mergeCell ref="J1:L1"/>
    <mergeCell ref="M1:O1"/>
    <mergeCell ref="P1:R1"/>
    <mergeCell ref="H1:H2"/>
    <mergeCell ref="A1:A2"/>
    <mergeCell ref="C1:C2"/>
    <mergeCell ref="D1:D2"/>
    <mergeCell ref="E1:E2"/>
    <mergeCell ref="G1:G2"/>
    <mergeCell ref="B1:B2"/>
    <mergeCell ref="F1:F2"/>
  </mergeCells>
  <phoneticPr fontId="1" type="noConversion"/>
  <conditionalFormatting sqref="L1:L1048576">
    <cfRule type="top10" dxfId="17" priority="1" percent="1" rank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F96A-322F-4AD3-A595-EC2EEF5FB330}">
  <dimension ref="A1:V34"/>
  <sheetViews>
    <sheetView topLeftCell="B1" zoomScale="115" zoomScaleNormal="115" workbookViewId="0">
      <selection activeCell="H3" sqref="H3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2" bestFit="1" customWidth="1"/>
    <col min="4" max="5" width="7.7109375" style="34" customWidth="1"/>
    <col min="6" max="6" width="8.7109375" style="84" customWidth="1"/>
    <col min="7" max="7" width="15.140625" style="112" customWidth="1"/>
    <col min="8" max="8" width="10.5703125" style="92" customWidth="1"/>
    <col min="9" max="9" width="17.42578125" style="92" customWidth="1"/>
    <col min="10" max="10" width="7.28515625" style="33" customWidth="1"/>
    <col min="11" max="12" width="7.28515625" style="92" customWidth="1"/>
    <col min="13" max="13" width="7.28515625" style="33" customWidth="1"/>
    <col min="14" max="15" width="7.28515625" style="92" customWidth="1"/>
    <col min="16" max="16" width="7.28515625" style="33" customWidth="1"/>
    <col min="17" max="17" width="7.28515625" style="32" customWidth="1"/>
    <col min="18" max="18" width="6.85546875" style="32" bestFit="1" customWidth="1"/>
    <col min="19" max="19" width="10.7109375" style="32" bestFit="1" customWidth="1"/>
    <col min="20" max="20" width="13.5703125" style="35" customWidth="1"/>
    <col min="21" max="21" width="10.140625" style="35" bestFit="1" customWidth="1"/>
    <col min="22" max="22" width="11.28515625" style="35" bestFit="1" customWidth="1"/>
    <col min="23" max="16384" width="9.140625" style="32"/>
  </cols>
  <sheetData>
    <row r="1" spans="1:22" s="30" customFormat="1" ht="15" customHeight="1" x14ac:dyDescent="0.25">
      <c r="A1" s="147" t="s">
        <v>111</v>
      </c>
      <c r="B1" s="157" t="s">
        <v>19</v>
      </c>
      <c r="C1" s="149" t="s">
        <v>121</v>
      </c>
      <c r="D1" s="151" t="s">
        <v>98</v>
      </c>
      <c r="E1" s="153" t="s">
        <v>29</v>
      </c>
      <c r="F1" s="153" t="s">
        <v>16</v>
      </c>
      <c r="G1" s="155" t="s">
        <v>169</v>
      </c>
      <c r="H1" s="162" t="s">
        <v>172</v>
      </c>
      <c r="I1" s="159" t="s">
        <v>173</v>
      </c>
      <c r="J1" s="151" t="s">
        <v>2</v>
      </c>
      <c r="K1" s="153"/>
      <c r="L1" s="161"/>
      <c r="M1" s="151" t="s">
        <v>4</v>
      </c>
      <c r="N1" s="153"/>
      <c r="O1" s="161"/>
      <c r="P1" s="151" t="s">
        <v>3</v>
      </c>
      <c r="Q1" s="153"/>
      <c r="R1" s="161"/>
      <c r="S1" s="128"/>
      <c r="T1" s="69"/>
      <c r="U1" s="69"/>
      <c r="V1" s="69"/>
    </row>
    <row r="2" spans="1:22" s="36" customFormat="1" ht="16.5" thickBot="1" x14ac:dyDescent="0.3">
      <c r="A2" s="148"/>
      <c r="B2" s="158"/>
      <c r="C2" s="150"/>
      <c r="D2" s="152"/>
      <c r="E2" s="154"/>
      <c r="F2" s="154"/>
      <c r="G2" s="156"/>
      <c r="H2" s="163"/>
      <c r="I2" s="160"/>
      <c r="J2" s="111" t="s">
        <v>36</v>
      </c>
      <c r="K2" s="110" t="s">
        <v>37</v>
      </c>
      <c r="L2" s="51" t="s">
        <v>49</v>
      </c>
      <c r="M2" s="110" t="s">
        <v>36</v>
      </c>
      <c r="N2" s="110" t="s">
        <v>37</v>
      </c>
      <c r="O2" s="52" t="s">
        <v>50</v>
      </c>
      <c r="P2" s="110" t="s">
        <v>36</v>
      </c>
      <c r="Q2" s="110" t="s">
        <v>37</v>
      </c>
      <c r="R2" s="52" t="s">
        <v>51</v>
      </c>
      <c r="S2" s="128"/>
      <c r="T2" s="164"/>
      <c r="U2" s="164"/>
      <c r="V2" s="141"/>
    </row>
    <row r="3" spans="1:22" s="30" customFormat="1" x14ac:dyDescent="0.25">
      <c r="A3" s="30">
        <v>1550</v>
      </c>
      <c r="B3" s="35"/>
      <c r="C3" s="37" t="s">
        <v>74</v>
      </c>
      <c r="D3" s="82">
        <v>0</v>
      </c>
      <c r="E3" s="31">
        <v>0</v>
      </c>
      <c r="F3" s="31">
        <v>0</v>
      </c>
      <c r="G3" s="84">
        <v>235.89</v>
      </c>
      <c r="H3" s="134">
        <f>G3</f>
        <v>235.89</v>
      </c>
      <c r="I3" s="135">
        <f>H3</f>
        <v>235.89</v>
      </c>
      <c r="J3" s="95">
        <v>0.93600000000000005</v>
      </c>
      <c r="K3" s="96">
        <v>0.47499999999999998</v>
      </c>
      <c r="L3" s="90">
        <f>J3-K3</f>
        <v>0.46100000000000008</v>
      </c>
      <c r="M3" s="96">
        <v>0</v>
      </c>
      <c r="N3" s="96">
        <v>0</v>
      </c>
      <c r="O3" s="90">
        <f>M3-N3</f>
        <v>0</v>
      </c>
      <c r="P3" s="96">
        <v>6.4000000000000001E-2</v>
      </c>
      <c r="Q3" s="96">
        <v>0.52500000000000002</v>
      </c>
      <c r="R3" s="90">
        <f>P3-Q3</f>
        <v>-0.46100000000000002</v>
      </c>
      <c r="S3" s="128"/>
      <c r="T3" s="133" t="s">
        <v>112</v>
      </c>
      <c r="U3" s="69"/>
      <c r="V3" s="69"/>
    </row>
    <row r="4" spans="1:22" x14ac:dyDescent="0.2">
      <c r="A4" s="32" t="s">
        <v>124</v>
      </c>
      <c r="C4" s="38" t="s">
        <v>168</v>
      </c>
      <c r="D4" s="82">
        <v>0</v>
      </c>
      <c r="E4" s="31">
        <v>0</v>
      </c>
      <c r="F4" s="31">
        <v>0</v>
      </c>
      <c r="G4" s="84">
        <v>190.25</v>
      </c>
      <c r="H4" s="134">
        <f>G4</f>
        <v>190.25</v>
      </c>
      <c r="I4" s="135">
        <f>H4</f>
        <v>190.25</v>
      </c>
      <c r="J4" s="95">
        <v>0.91200000000000003</v>
      </c>
      <c r="K4" s="96">
        <v>5.5E-2</v>
      </c>
      <c r="L4" s="90">
        <f>J4-K4</f>
        <v>0.85699999999999998</v>
      </c>
      <c r="M4" s="96">
        <v>2.1999999999999999E-2</v>
      </c>
      <c r="N4" s="96">
        <v>0.309</v>
      </c>
      <c r="O4" s="90">
        <f>M4-N4</f>
        <v>-0.28699999999999998</v>
      </c>
      <c r="P4" s="96">
        <v>6.6000000000000003E-2</v>
      </c>
      <c r="Q4" s="96">
        <v>0.63600000000000001</v>
      </c>
      <c r="R4" s="90">
        <f>P4-Q4</f>
        <v>-0.57000000000000006</v>
      </c>
      <c r="S4" s="128"/>
      <c r="T4" s="130" t="s">
        <v>113</v>
      </c>
      <c r="U4" s="69"/>
      <c r="V4" s="69"/>
    </row>
    <row r="5" spans="1:22" ht="15" customHeight="1" x14ac:dyDescent="0.25">
      <c r="A5" s="30"/>
      <c r="C5" s="38"/>
      <c r="D5" s="82"/>
      <c r="E5" s="31"/>
      <c r="F5" s="31"/>
      <c r="G5" s="84"/>
      <c r="H5" s="134"/>
      <c r="I5" s="135"/>
      <c r="J5" s="95"/>
      <c r="K5" s="96"/>
      <c r="L5" s="90"/>
      <c r="M5" s="96"/>
      <c r="N5" s="96"/>
      <c r="O5" s="90"/>
      <c r="P5" s="96"/>
      <c r="Q5" s="96"/>
      <c r="R5" s="90"/>
      <c r="S5" s="128"/>
      <c r="T5" s="35" t="s">
        <v>114</v>
      </c>
      <c r="U5" s="69"/>
      <c r="V5" s="69"/>
    </row>
    <row r="6" spans="1:22" ht="15" customHeight="1" x14ac:dyDescent="0.25">
      <c r="A6" s="30"/>
      <c r="C6" s="38"/>
      <c r="D6" s="82"/>
      <c r="E6" s="31"/>
      <c r="F6" s="31"/>
      <c r="G6" s="84"/>
      <c r="H6" s="134"/>
      <c r="I6" s="135"/>
      <c r="J6" s="95"/>
      <c r="K6" s="96"/>
      <c r="L6" s="90"/>
      <c r="M6" s="96"/>
      <c r="N6" s="96"/>
      <c r="O6" s="90"/>
      <c r="P6" s="96"/>
      <c r="Q6" s="96"/>
      <c r="R6" s="90"/>
      <c r="S6" s="128"/>
      <c r="T6" s="131"/>
      <c r="U6" s="69"/>
      <c r="V6" s="69"/>
    </row>
    <row r="7" spans="1:22" ht="15" customHeight="1" x14ac:dyDescent="0.25">
      <c r="C7" s="38"/>
      <c r="D7" s="44"/>
      <c r="F7" s="34"/>
      <c r="G7" s="84"/>
      <c r="H7" s="134"/>
      <c r="I7" s="136"/>
      <c r="J7" s="91"/>
      <c r="L7" s="90"/>
      <c r="M7" s="92"/>
      <c r="O7" s="90"/>
      <c r="P7" s="92"/>
      <c r="Q7" s="92"/>
      <c r="R7" s="90"/>
      <c r="S7" s="128"/>
    </row>
    <row r="8" spans="1:22" ht="15" customHeight="1" x14ac:dyDescent="0.25">
      <c r="B8" s="71"/>
      <c r="C8" s="38"/>
      <c r="D8" s="126"/>
      <c r="F8" s="34"/>
      <c r="G8" s="84"/>
      <c r="H8" s="134"/>
      <c r="I8" s="136"/>
      <c r="J8" s="91"/>
      <c r="L8" s="90"/>
      <c r="M8" s="92"/>
      <c r="O8" s="90"/>
      <c r="P8" s="92"/>
      <c r="Q8" s="92"/>
      <c r="R8" s="90"/>
      <c r="S8" s="128"/>
      <c r="T8" s="142" t="s">
        <v>113</v>
      </c>
      <c r="U8" s="69" t="s">
        <v>82</v>
      </c>
      <c r="V8" s="69" t="s">
        <v>83</v>
      </c>
    </row>
    <row r="9" spans="1:22" ht="15" customHeight="1" x14ac:dyDescent="0.25">
      <c r="B9" s="71"/>
      <c r="C9" s="38"/>
      <c r="D9" s="126"/>
      <c r="F9" s="34"/>
      <c r="G9" s="84"/>
      <c r="H9" s="134"/>
      <c r="I9" s="136"/>
      <c r="J9" s="91"/>
      <c r="L9" s="90"/>
      <c r="M9" s="92"/>
      <c r="O9" s="90"/>
      <c r="P9" s="92"/>
      <c r="Q9" s="92"/>
      <c r="R9" s="90"/>
      <c r="S9" s="128"/>
      <c r="T9" s="35" t="s">
        <v>128</v>
      </c>
    </row>
    <row r="10" spans="1:22" x14ac:dyDescent="0.25">
      <c r="B10" s="71"/>
      <c r="C10" s="38"/>
      <c r="D10" s="126"/>
      <c r="F10" s="34"/>
      <c r="G10" s="84"/>
      <c r="H10" s="134"/>
      <c r="I10" s="136"/>
      <c r="J10" s="91"/>
      <c r="L10" s="90"/>
      <c r="M10" s="92"/>
      <c r="O10" s="90"/>
      <c r="P10" s="92"/>
      <c r="Q10" s="92"/>
      <c r="R10" s="90"/>
      <c r="S10" s="128"/>
      <c r="T10" s="35" t="s">
        <v>129</v>
      </c>
    </row>
    <row r="11" spans="1:22" ht="15" customHeight="1" x14ac:dyDescent="0.25">
      <c r="C11" s="38"/>
      <c r="D11" s="44"/>
      <c r="F11" s="34"/>
      <c r="G11" s="34"/>
      <c r="H11" s="137"/>
      <c r="I11" s="136"/>
      <c r="J11" s="91"/>
      <c r="L11" s="90"/>
      <c r="M11" s="92"/>
      <c r="O11" s="90"/>
      <c r="P11" s="92"/>
      <c r="Q11" s="92"/>
      <c r="R11" s="90"/>
      <c r="S11" s="128"/>
      <c r="T11" s="35" t="s">
        <v>130</v>
      </c>
    </row>
    <row r="12" spans="1:22" ht="15" customHeight="1" x14ac:dyDescent="0.25">
      <c r="C12" s="38"/>
      <c r="D12" s="44"/>
      <c r="F12" s="34"/>
      <c r="G12" s="84"/>
      <c r="H12" s="134"/>
      <c r="I12" s="136"/>
      <c r="J12" s="91"/>
      <c r="L12" s="90"/>
      <c r="M12" s="92"/>
      <c r="O12" s="90"/>
      <c r="P12" s="92"/>
      <c r="Q12" s="92"/>
      <c r="R12" s="90"/>
      <c r="S12" s="128"/>
      <c r="T12" s="35" t="s">
        <v>131</v>
      </c>
    </row>
    <row r="13" spans="1:22" ht="15" customHeight="1" x14ac:dyDescent="0.25">
      <c r="A13" s="30"/>
      <c r="C13" s="38"/>
      <c r="D13" s="44"/>
      <c r="F13" s="34"/>
      <c r="G13" s="84"/>
      <c r="H13" s="134"/>
      <c r="I13" s="136"/>
      <c r="J13" s="91"/>
      <c r="L13" s="41"/>
      <c r="M13" s="92"/>
      <c r="O13" s="41"/>
      <c r="P13" s="92"/>
      <c r="Q13" s="92"/>
      <c r="R13" s="41"/>
      <c r="S13" s="128"/>
      <c r="T13" s="35" t="s">
        <v>132</v>
      </c>
      <c r="V13" s="143"/>
    </row>
    <row r="14" spans="1:22" ht="15" customHeight="1" x14ac:dyDescent="0.25">
      <c r="C14" s="38"/>
      <c r="D14" s="44"/>
      <c r="F14" s="34"/>
      <c r="G14" s="84"/>
      <c r="H14" s="134"/>
      <c r="I14" s="136"/>
      <c r="J14" s="91"/>
      <c r="L14" s="90"/>
      <c r="M14" s="92"/>
      <c r="O14" s="90"/>
      <c r="P14" s="92"/>
      <c r="Q14" s="92"/>
      <c r="R14" s="90"/>
      <c r="S14" s="128"/>
      <c r="T14" s="138" t="s">
        <v>133</v>
      </c>
      <c r="U14" s="138">
        <v>3.2854000000000001</v>
      </c>
      <c r="V14" s="145">
        <v>0</v>
      </c>
    </row>
    <row r="15" spans="1:22" ht="15" customHeight="1" x14ac:dyDescent="0.25">
      <c r="A15" s="30"/>
      <c r="C15" s="38"/>
      <c r="D15" s="44"/>
      <c r="F15" s="34"/>
      <c r="G15" s="84"/>
      <c r="H15" s="134"/>
      <c r="I15" s="136"/>
      <c r="J15" s="91"/>
      <c r="L15" s="90"/>
      <c r="M15" s="92"/>
      <c r="O15" s="90"/>
      <c r="P15" s="92"/>
      <c r="Q15" s="92"/>
      <c r="R15" s="90"/>
      <c r="S15" s="128"/>
      <c r="T15" s="35" t="s">
        <v>134</v>
      </c>
      <c r="U15" s="35">
        <v>4.0499000000000001</v>
      </c>
      <c r="V15" s="35">
        <v>2.14E-4</v>
      </c>
    </row>
    <row r="16" spans="1:22" ht="15" customHeight="1" x14ac:dyDescent="0.25">
      <c r="C16" s="38"/>
      <c r="D16" s="44"/>
      <c r="F16" s="34"/>
      <c r="G16" s="84"/>
      <c r="H16" s="134"/>
      <c r="I16" s="136"/>
      <c r="J16" s="91"/>
      <c r="L16" s="90"/>
      <c r="M16" s="92"/>
      <c r="O16" s="90"/>
      <c r="P16" s="92"/>
      <c r="Q16" s="92"/>
      <c r="R16" s="90"/>
      <c r="S16" s="128"/>
      <c r="T16" s="35" t="s">
        <v>135</v>
      </c>
    </row>
    <row r="17" spans="1:22" ht="15" customHeight="1" x14ac:dyDescent="0.25">
      <c r="C17" s="38"/>
      <c r="D17" s="44"/>
      <c r="F17" s="34"/>
      <c r="G17" s="84"/>
      <c r="H17" s="134"/>
      <c r="I17" s="136"/>
      <c r="J17" s="91"/>
      <c r="L17" s="90"/>
      <c r="M17" s="92"/>
      <c r="O17" s="90"/>
      <c r="P17" s="92"/>
      <c r="Q17" s="92"/>
      <c r="R17" s="90"/>
      <c r="S17" s="128"/>
    </row>
    <row r="18" spans="1:22" ht="15" customHeight="1" x14ac:dyDescent="0.25">
      <c r="C18" s="38"/>
      <c r="D18" s="44"/>
      <c r="F18" s="34"/>
      <c r="G18" s="34"/>
      <c r="H18" s="137"/>
      <c r="I18" s="136"/>
      <c r="J18" s="91"/>
      <c r="L18" s="90"/>
      <c r="M18" s="92"/>
      <c r="O18" s="90"/>
      <c r="P18" s="92"/>
      <c r="Q18" s="92"/>
      <c r="R18" s="90"/>
      <c r="S18" s="128"/>
      <c r="T18" s="35" t="s">
        <v>166</v>
      </c>
      <c r="U18" s="35">
        <v>4.0735999999999999</v>
      </c>
      <c r="V18" s="35">
        <v>9.1999999999999998E-3</v>
      </c>
    </row>
    <row r="19" spans="1:22" ht="15" customHeight="1" x14ac:dyDescent="0.25">
      <c r="C19" s="38"/>
      <c r="D19" s="44"/>
      <c r="F19" s="34"/>
      <c r="G19" s="34"/>
      <c r="H19" s="137"/>
      <c r="I19" s="136"/>
      <c r="J19" s="91"/>
      <c r="L19" s="90"/>
      <c r="M19" s="92"/>
      <c r="O19" s="90"/>
      <c r="P19" s="92"/>
      <c r="Q19" s="92"/>
      <c r="R19" s="90"/>
      <c r="S19" s="128"/>
      <c r="T19" s="35" t="s">
        <v>167</v>
      </c>
      <c r="U19" s="35">
        <v>6.4644000000000004</v>
      </c>
      <c r="V19" s="35">
        <v>0.91980200000000001</v>
      </c>
    </row>
    <row r="20" spans="1:22" ht="15" customHeight="1" x14ac:dyDescent="0.25">
      <c r="C20" s="38"/>
      <c r="D20" s="44"/>
      <c r="F20" s="34"/>
      <c r="G20" s="34"/>
      <c r="H20" s="137"/>
      <c r="I20" s="136"/>
      <c r="J20" s="91"/>
      <c r="L20" s="90"/>
      <c r="M20" s="92"/>
      <c r="O20" s="90"/>
      <c r="P20" s="92"/>
      <c r="Q20" s="92"/>
      <c r="R20" s="90"/>
      <c r="S20" s="128"/>
    </row>
    <row r="21" spans="1:22" ht="15" customHeight="1" x14ac:dyDescent="0.25">
      <c r="C21" s="38"/>
      <c r="D21" s="44"/>
      <c r="F21" s="34"/>
      <c r="G21" s="34"/>
      <c r="H21" s="137"/>
      <c r="I21" s="136"/>
      <c r="J21" s="91"/>
      <c r="L21" s="90"/>
      <c r="M21" s="92"/>
      <c r="O21" s="90"/>
      <c r="P21" s="92"/>
      <c r="Q21" s="92"/>
      <c r="R21" s="90"/>
      <c r="S21" s="128"/>
      <c r="T21" s="35" t="s">
        <v>171</v>
      </c>
      <c r="U21" s="35">
        <v>2.8593000000000002</v>
      </c>
      <c r="V21" s="35">
        <v>0.28114</v>
      </c>
    </row>
    <row r="22" spans="1:22" ht="15" customHeight="1" x14ac:dyDescent="0.25">
      <c r="C22" s="38"/>
      <c r="D22" s="44"/>
      <c r="F22" s="34"/>
      <c r="G22" s="34"/>
      <c r="H22" s="137"/>
      <c r="I22" s="136"/>
      <c r="J22" s="91"/>
      <c r="L22" s="90"/>
      <c r="M22" s="92"/>
      <c r="O22" s="42"/>
      <c r="P22" s="92"/>
      <c r="Q22" s="92"/>
      <c r="R22" s="42"/>
      <c r="S22" s="128"/>
      <c r="T22" s="35" t="s">
        <v>170</v>
      </c>
      <c r="U22" s="35">
        <v>1.6076999999999999</v>
      </c>
      <c r="V22" s="35">
        <v>2.722073</v>
      </c>
    </row>
    <row r="23" spans="1:22" ht="15" customHeight="1" x14ac:dyDescent="0.25">
      <c r="C23" s="38"/>
      <c r="D23" s="44"/>
      <c r="F23" s="34"/>
      <c r="G23" s="34"/>
      <c r="H23" s="137"/>
      <c r="I23" s="136"/>
      <c r="J23" s="91"/>
      <c r="L23" s="90"/>
      <c r="M23" s="92"/>
      <c r="O23" s="42"/>
      <c r="P23" s="92"/>
      <c r="Q23" s="92"/>
      <c r="R23" s="42"/>
      <c r="S23" s="128"/>
    </row>
    <row r="24" spans="1:22" ht="15" customHeight="1" x14ac:dyDescent="0.25">
      <c r="C24" s="38"/>
      <c r="D24" s="44"/>
      <c r="F24" s="34"/>
      <c r="G24" s="34"/>
      <c r="H24" s="137"/>
      <c r="I24" s="136"/>
      <c r="J24" s="91"/>
      <c r="L24" s="90"/>
      <c r="M24" s="92"/>
      <c r="O24" s="90"/>
      <c r="P24" s="92"/>
      <c r="Q24" s="92"/>
      <c r="R24" s="90"/>
      <c r="S24" s="128"/>
    </row>
    <row r="25" spans="1:22" ht="15" customHeight="1" x14ac:dyDescent="0.25">
      <c r="C25" s="38"/>
      <c r="D25" s="44"/>
      <c r="F25" s="34"/>
      <c r="G25" s="34"/>
      <c r="H25" s="137"/>
      <c r="I25" s="136"/>
      <c r="J25" s="91"/>
      <c r="L25" s="90"/>
      <c r="M25" s="92"/>
      <c r="O25" s="90"/>
      <c r="P25" s="92"/>
      <c r="Q25" s="92"/>
      <c r="R25" s="90"/>
      <c r="S25" s="128"/>
    </row>
    <row r="26" spans="1:22" ht="15" customHeight="1" x14ac:dyDescent="0.25">
      <c r="C26" s="38"/>
      <c r="D26" s="44"/>
      <c r="F26" s="34"/>
      <c r="G26" s="34"/>
      <c r="H26" s="137"/>
      <c r="I26" s="136"/>
      <c r="J26" s="91"/>
      <c r="L26" s="90"/>
      <c r="M26" s="92"/>
      <c r="O26" s="90"/>
      <c r="P26" s="92"/>
      <c r="Q26" s="92"/>
      <c r="R26" s="90"/>
      <c r="S26" s="128"/>
    </row>
    <row r="27" spans="1:22" ht="15" customHeight="1" x14ac:dyDescent="0.25">
      <c r="C27" s="38"/>
      <c r="D27" s="44"/>
      <c r="F27" s="34"/>
      <c r="G27" s="34"/>
      <c r="H27" s="137"/>
      <c r="I27" s="136"/>
      <c r="J27" s="91"/>
      <c r="L27" s="90"/>
      <c r="M27" s="92"/>
      <c r="O27" s="90"/>
      <c r="P27" s="92"/>
      <c r="Q27" s="92"/>
      <c r="R27" s="90"/>
      <c r="S27" s="128"/>
    </row>
    <row r="28" spans="1:22" ht="15" customHeight="1" x14ac:dyDescent="0.25">
      <c r="A28" s="35"/>
      <c r="C28" s="38"/>
      <c r="D28" s="44"/>
      <c r="F28" s="34"/>
      <c r="G28" s="34"/>
      <c r="H28" s="137"/>
      <c r="I28" s="136"/>
      <c r="J28" s="91"/>
      <c r="L28" s="90"/>
      <c r="M28" s="92"/>
      <c r="O28" s="90"/>
      <c r="P28" s="92"/>
      <c r="Q28" s="92"/>
      <c r="R28" s="90"/>
      <c r="S28" s="128"/>
      <c r="T28" s="142"/>
      <c r="U28" s="69"/>
      <c r="V28" s="69"/>
    </row>
    <row r="29" spans="1:22" ht="15" customHeight="1" x14ac:dyDescent="0.25">
      <c r="A29" s="35"/>
      <c r="C29" s="38"/>
      <c r="D29" s="44"/>
      <c r="F29" s="34"/>
      <c r="G29" s="34"/>
      <c r="H29" s="137"/>
      <c r="I29" s="136"/>
      <c r="J29" s="91"/>
      <c r="L29" s="90"/>
      <c r="M29" s="92"/>
      <c r="O29" s="90"/>
      <c r="P29" s="92"/>
      <c r="Q29" s="92"/>
      <c r="R29" s="90"/>
      <c r="S29" s="128"/>
    </row>
    <row r="30" spans="1:22" ht="15" customHeight="1" x14ac:dyDescent="0.25">
      <c r="A30" s="35"/>
      <c r="C30" s="38"/>
      <c r="D30" s="44"/>
      <c r="F30" s="34"/>
      <c r="G30" s="34"/>
      <c r="H30" s="137"/>
      <c r="I30" s="136"/>
      <c r="J30" s="91"/>
      <c r="L30" s="90"/>
      <c r="M30" s="92"/>
      <c r="O30" s="90"/>
      <c r="P30" s="92"/>
      <c r="Q30" s="92"/>
      <c r="R30" s="90"/>
      <c r="S30" s="128"/>
    </row>
    <row r="31" spans="1:22" ht="15" customHeight="1" x14ac:dyDescent="0.25">
      <c r="C31" s="38"/>
      <c r="D31" s="44"/>
      <c r="F31" s="34"/>
      <c r="G31" s="34"/>
      <c r="H31" s="137"/>
      <c r="I31" s="136"/>
      <c r="J31" s="91"/>
      <c r="L31" s="90"/>
      <c r="M31" s="92"/>
      <c r="O31" s="90"/>
      <c r="P31" s="92"/>
      <c r="Q31" s="92"/>
      <c r="R31" s="90"/>
      <c r="S31" s="128"/>
    </row>
    <row r="32" spans="1:22" ht="15" customHeight="1" x14ac:dyDescent="0.25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</row>
    <row r="33" spans="1:22" ht="15" customHeight="1" x14ac:dyDescent="0.25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V33" s="143"/>
    </row>
    <row r="34" spans="1:22" x14ac:dyDescent="0.25">
      <c r="T34" s="69"/>
      <c r="U34" s="69"/>
      <c r="V34" s="69"/>
    </row>
  </sheetData>
  <mergeCells count="13">
    <mergeCell ref="T2:U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O1"/>
    <mergeCell ref="P1:R1"/>
  </mergeCells>
  <conditionalFormatting sqref="J34:J1048576">
    <cfRule type="top10" dxfId="16" priority="2" percent="1" rank="25"/>
  </conditionalFormatting>
  <conditionalFormatting sqref="L1:L31">
    <cfRule type="top10" dxfId="15" priority="1" percent="1" rank="2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63-D765-4D88-816D-AF600C9A68D9}">
  <dimension ref="A1:Y42"/>
  <sheetViews>
    <sheetView zoomScale="130" zoomScaleNormal="130" workbookViewId="0">
      <selection activeCell="C14" sqref="C14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7" t="s">
        <v>0</v>
      </c>
      <c r="B1" s="31" t="s">
        <v>68</v>
      </c>
      <c r="C1" s="149" t="s">
        <v>69</v>
      </c>
      <c r="D1" s="30" t="s">
        <v>67</v>
      </c>
      <c r="E1" s="151" t="s">
        <v>30</v>
      </c>
      <c r="F1" s="153" t="s">
        <v>29</v>
      </c>
      <c r="G1" s="155" t="s">
        <v>32</v>
      </c>
      <c r="H1" s="165" t="s">
        <v>66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47" t="s">
        <v>72</v>
      </c>
    </row>
    <row r="2" spans="1:25" s="36" customFormat="1" ht="16.5" thickBot="1" x14ac:dyDescent="0.3">
      <c r="A2" s="148"/>
      <c r="B2" s="86"/>
      <c r="C2" s="150"/>
      <c r="E2" s="152"/>
      <c r="F2" s="154"/>
      <c r="G2" s="156"/>
      <c r="H2" s="166"/>
      <c r="I2" s="154"/>
      <c r="J2" s="168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48"/>
      <c r="V2" s="154"/>
      <c r="W2" s="154"/>
      <c r="X2" s="154"/>
      <c r="Y2" s="154"/>
    </row>
    <row r="3" spans="1:25" s="30" customFormat="1" x14ac:dyDescent="0.25">
      <c r="A3" s="30">
        <v>532</v>
      </c>
      <c r="B3" s="30">
        <v>0</v>
      </c>
      <c r="C3" s="45" t="s">
        <v>74</v>
      </c>
      <c r="D3" s="37">
        <v>0</v>
      </c>
      <c r="E3" s="82">
        <v>0</v>
      </c>
      <c r="F3" s="31">
        <v>0</v>
      </c>
      <c r="G3" s="84">
        <v>67.099999999999994</v>
      </c>
      <c r="H3" s="98">
        <f t="shared" ref="H3:H11" si="0">G3</f>
        <v>67.099999999999994</v>
      </c>
      <c r="I3" s="31">
        <v>0</v>
      </c>
      <c r="J3" s="83">
        <f>H3</f>
        <v>67.099999999999994</v>
      </c>
      <c r="K3" s="88">
        <v>8.2000000000000003E-2</v>
      </c>
      <c r="L3" s="89">
        <v>8.9999999999999993E-3</v>
      </c>
      <c r="M3" s="90">
        <f t="shared" ref="M3:M11" si="1">K3-L3</f>
        <v>7.3000000000000009E-2</v>
      </c>
      <c r="N3" s="89">
        <v>0.61799999999999999</v>
      </c>
      <c r="O3" s="89">
        <v>0.497</v>
      </c>
      <c r="P3" s="90">
        <f t="shared" ref="P3:P11" si="2">N3-O3</f>
        <v>0.121</v>
      </c>
      <c r="Q3" s="89">
        <v>0.3</v>
      </c>
      <c r="R3" s="89">
        <v>0.495</v>
      </c>
      <c r="S3" s="90">
        <f t="shared" ref="S3:S11" si="3">Q3-R3</f>
        <v>-0.19500000000000001</v>
      </c>
      <c r="T3" s="69"/>
    </row>
    <row r="4" spans="1:25" s="30" customFormat="1" x14ac:dyDescent="0.25">
      <c r="B4" s="32">
        <v>0</v>
      </c>
      <c r="C4" s="38" t="s">
        <v>75</v>
      </c>
      <c r="D4" s="38">
        <v>0</v>
      </c>
      <c r="E4" s="44">
        <v>0</v>
      </c>
      <c r="F4" s="34">
        <v>0</v>
      </c>
      <c r="G4" s="84">
        <v>57.5</v>
      </c>
      <c r="H4" s="98">
        <f t="shared" si="0"/>
        <v>57.5</v>
      </c>
      <c r="I4" s="31">
        <v>50.6</v>
      </c>
      <c r="J4" s="43">
        <v>108.1</v>
      </c>
      <c r="K4" s="93">
        <v>0.16200000000000001</v>
      </c>
      <c r="L4" s="94">
        <v>2.7E-2</v>
      </c>
      <c r="M4" s="97">
        <f t="shared" si="1"/>
        <v>0.13500000000000001</v>
      </c>
      <c r="N4" s="94">
        <v>0.83799999999999997</v>
      </c>
      <c r="O4" s="94">
        <v>0.93</v>
      </c>
      <c r="P4" s="97">
        <f t="shared" si="2"/>
        <v>-9.2000000000000082E-2</v>
      </c>
      <c r="Q4" s="94">
        <v>0</v>
      </c>
      <c r="R4" s="94">
        <v>4.5999999999999999E-2</v>
      </c>
      <c r="S4" s="97">
        <f t="shared" si="3"/>
        <v>-4.5999999999999999E-2</v>
      </c>
      <c r="T4" s="69"/>
    </row>
    <row r="5" spans="1:25" x14ac:dyDescent="0.25">
      <c r="B5" s="32">
        <v>0</v>
      </c>
      <c r="C5" s="38" t="s">
        <v>76</v>
      </c>
      <c r="D5" s="38">
        <v>0</v>
      </c>
      <c r="E5" s="44">
        <v>32.700000000000003</v>
      </c>
      <c r="F5" s="34">
        <v>90.1</v>
      </c>
      <c r="G5" s="84">
        <v>75.2</v>
      </c>
      <c r="H5" s="112">
        <f t="shared" si="0"/>
        <v>75.2</v>
      </c>
      <c r="I5" s="84">
        <v>30</v>
      </c>
      <c r="J5" s="43">
        <v>170.6</v>
      </c>
      <c r="K5" s="91">
        <v>0.122</v>
      </c>
      <c r="L5" s="92">
        <v>1.6E-2</v>
      </c>
      <c r="M5" s="97">
        <f t="shared" si="1"/>
        <v>0.106</v>
      </c>
      <c r="N5" s="92">
        <v>0.878</v>
      </c>
      <c r="O5" s="92">
        <v>0.93</v>
      </c>
      <c r="P5" s="97">
        <f t="shared" si="2"/>
        <v>-5.2000000000000046E-2</v>
      </c>
      <c r="Q5" s="92">
        <v>0</v>
      </c>
      <c r="R5" s="92">
        <v>4.9000000000000002E-2</v>
      </c>
      <c r="S5" s="97">
        <f t="shared" si="3"/>
        <v>-4.9000000000000002E-2</v>
      </c>
      <c r="T5" s="34"/>
    </row>
    <row r="6" spans="1:25" x14ac:dyDescent="0.25">
      <c r="B6" s="32">
        <v>1</v>
      </c>
      <c r="C6" s="81" t="s">
        <v>75</v>
      </c>
      <c r="D6" s="38">
        <v>0</v>
      </c>
      <c r="E6" s="44">
        <v>32.700000000000003</v>
      </c>
      <c r="F6" s="34">
        <v>90.1</v>
      </c>
      <c r="G6" s="84">
        <v>31.1</v>
      </c>
      <c r="H6" s="98">
        <f t="shared" si="0"/>
        <v>31.1</v>
      </c>
      <c r="I6" s="31">
        <v>25.1</v>
      </c>
      <c r="J6" s="43">
        <v>277.10000000000002</v>
      </c>
      <c r="K6" s="93">
        <v>0.46700000000000003</v>
      </c>
      <c r="L6" s="94">
        <v>0.19900000000000001</v>
      </c>
      <c r="M6" s="97">
        <f t="shared" si="1"/>
        <v>0.26800000000000002</v>
      </c>
      <c r="N6" s="94">
        <v>0.53300000000000003</v>
      </c>
      <c r="O6" s="94">
        <v>0.8</v>
      </c>
      <c r="P6" s="97">
        <f t="shared" si="2"/>
        <v>-0.26700000000000002</v>
      </c>
      <c r="Q6" s="94">
        <v>0</v>
      </c>
      <c r="R6" s="94">
        <v>5.0000000000000001E-3</v>
      </c>
      <c r="S6" s="97">
        <f t="shared" si="3"/>
        <v>-5.0000000000000001E-3</v>
      </c>
      <c r="T6" s="34"/>
    </row>
    <row r="7" spans="1:25" s="30" customFormat="1" x14ac:dyDescent="0.25">
      <c r="A7" s="32"/>
      <c r="B7" s="32">
        <v>1</v>
      </c>
      <c r="C7" s="38" t="s">
        <v>75</v>
      </c>
      <c r="D7" s="38">
        <v>1</v>
      </c>
      <c r="E7" s="44">
        <v>32.700000000000003</v>
      </c>
      <c r="F7" s="34">
        <v>90.1</v>
      </c>
      <c r="G7" s="31">
        <v>38.5</v>
      </c>
      <c r="H7" s="34">
        <f t="shared" si="0"/>
        <v>38.5</v>
      </c>
      <c r="I7" s="31">
        <v>18.3</v>
      </c>
      <c r="J7" s="43">
        <f>433.2</f>
        <v>433.2</v>
      </c>
      <c r="K7" s="91">
        <v>0.33700000000000002</v>
      </c>
      <c r="L7" s="92">
        <v>0.1</v>
      </c>
      <c r="M7" s="97">
        <f t="shared" si="1"/>
        <v>0.23700000000000002</v>
      </c>
      <c r="N7" s="92">
        <v>0.66300000000000003</v>
      </c>
      <c r="O7" s="92">
        <v>0.88</v>
      </c>
      <c r="P7" s="97">
        <f t="shared" si="2"/>
        <v>-0.21699999999999997</v>
      </c>
      <c r="Q7" s="92">
        <v>0</v>
      </c>
      <c r="R7" s="92">
        <v>1.7999999999999999E-2</v>
      </c>
      <c r="S7" s="97">
        <f t="shared" si="3"/>
        <v>-1.7999999999999999E-2</v>
      </c>
    </row>
    <row r="8" spans="1:25" x14ac:dyDescent="0.25">
      <c r="B8" s="32">
        <v>1</v>
      </c>
      <c r="C8" s="38" t="s">
        <v>75</v>
      </c>
      <c r="D8" s="38">
        <v>2</v>
      </c>
      <c r="E8" s="44">
        <v>32.700000000000003</v>
      </c>
      <c r="F8" s="34">
        <v>90.1</v>
      </c>
      <c r="G8" s="31">
        <v>41.2</v>
      </c>
      <c r="H8" s="34">
        <f t="shared" si="0"/>
        <v>41.2</v>
      </c>
      <c r="I8" s="31">
        <v>15.1</v>
      </c>
      <c r="J8" s="43">
        <v>588.29999999999995</v>
      </c>
      <c r="K8" s="93">
        <v>0.22</v>
      </c>
      <c r="L8" s="94">
        <v>5.2999999999999999E-2</v>
      </c>
      <c r="M8" s="97">
        <f t="shared" si="1"/>
        <v>0.16700000000000001</v>
      </c>
      <c r="N8" s="94">
        <v>0.78</v>
      </c>
      <c r="O8" s="94">
        <v>0.89</v>
      </c>
      <c r="P8" s="97">
        <f t="shared" si="2"/>
        <v>-0.10999999999999999</v>
      </c>
      <c r="Q8" s="94">
        <v>0</v>
      </c>
      <c r="R8" s="94">
        <v>5.2999999999999999E-2</v>
      </c>
      <c r="S8" s="97">
        <f t="shared" si="3"/>
        <v>-5.2999999999999999E-2</v>
      </c>
    </row>
    <row r="9" spans="1:25" x14ac:dyDescent="0.25">
      <c r="A9" s="30"/>
      <c r="B9" s="32">
        <v>2</v>
      </c>
      <c r="C9" s="38" t="s">
        <v>75</v>
      </c>
      <c r="D9" s="38">
        <v>2</v>
      </c>
      <c r="E9" s="44">
        <v>32.700000000000003</v>
      </c>
      <c r="F9" s="34">
        <v>90.1</v>
      </c>
      <c r="G9" s="31">
        <v>24.3</v>
      </c>
      <c r="H9" s="34">
        <f t="shared" si="0"/>
        <v>24.3</v>
      </c>
      <c r="I9" s="31">
        <v>30.6</v>
      </c>
      <c r="J9" s="43">
        <v>742.3</v>
      </c>
      <c r="K9" s="91">
        <v>0.33500000000000002</v>
      </c>
      <c r="L9" s="92">
        <v>0.14099999999999999</v>
      </c>
      <c r="M9" s="97">
        <f t="shared" si="1"/>
        <v>0.19400000000000003</v>
      </c>
      <c r="N9" s="92">
        <v>0.66500000000000004</v>
      </c>
      <c r="O9" s="92">
        <v>0.79</v>
      </c>
      <c r="P9" s="97">
        <f t="shared" si="2"/>
        <v>-0.125</v>
      </c>
      <c r="Q9" s="92">
        <v>0</v>
      </c>
      <c r="R9" s="92">
        <v>7.0999999999999994E-2</v>
      </c>
      <c r="S9" s="97">
        <f t="shared" si="3"/>
        <v>-7.0999999999999994E-2</v>
      </c>
    </row>
    <row r="10" spans="1:25" x14ac:dyDescent="0.25">
      <c r="A10" s="30"/>
      <c r="B10" s="32">
        <v>1</v>
      </c>
      <c r="C10" s="38" t="s">
        <v>75</v>
      </c>
      <c r="D10" s="38">
        <v>3</v>
      </c>
      <c r="E10" s="44">
        <v>32.700000000000003</v>
      </c>
      <c r="F10" s="34">
        <v>90.1</v>
      </c>
      <c r="G10" s="84">
        <v>42.6</v>
      </c>
      <c r="H10" s="32">
        <f t="shared" si="0"/>
        <v>42.6</v>
      </c>
      <c r="I10" s="31">
        <v>13.3</v>
      </c>
      <c r="J10" s="43">
        <v>743.5</v>
      </c>
      <c r="K10" s="91">
        <v>0.13100000000000001</v>
      </c>
      <c r="L10" s="92">
        <v>2.8000000000000001E-2</v>
      </c>
      <c r="M10" s="97">
        <f t="shared" si="1"/>
        <v>0.10300000000000001</v>
      </c>
      <c r="N10" s="92">
        <v>0.86899999999999999</v>
      </c>
      <c r="O10" s="92">
        <v>0.89</v>
      </c>
      <c r="P10" s="41">
        <f t="shared" si="2"/>
        <v>-2.1000000000000019E-2</v>
      </c>
      <c r="Q10" s="92">
        <v>0</v>
      </c>
      <c r="R10" s="92">
        <v>0.08</v>
      </c>
      <c r="S10" s="41">
        <f t="shared" si="3"/>
        <v>-0.08</v>
      </c>
    </row>
    <row r="11" spans="1:25" x14ac:dyDescent="0.25">
      <c r="B11" s="32">
        <v>2</v>
      </c>
      <c r="C11" s="38" t="s">
        <v>75</v>
      </c>
      <c r="D11" s="38">
        <v>3</v>
      </c>
      <c r="E11" s="34">
        <v>32.700000000000003</v>
      </c>
      <c r="F11" s="34">
        <v>90.1</v>
      </c>
      <c r="G11" s="84">
        <v>31.9</v>
      </c>
      <c r="H11" s="112">
        <f t="shared" si="0"/>
        <v>31.9</v>
      </c>
      <c r="I11" s="31">
        <v>23.7</v>
      </c>
      <c r="J11" s="43">
        <v>898.6</v>
      </c>
      <c r="K11" s="91">
        <v>0.19700000000000001</v>
      </c>
      <c r="L11" s="92">
        <v>6.0999999999999999E-2</v>
      </c>
      <c r="M11" s="97">
        <f t="shared" si="1"/>
        <v>0.13600000000000001</v>
      </c>
      <c r="N11" s="92">
        <v>0.80300000000000005</v>
      </c>
      <c r="O11" s="92">
        <v>0.89</v>
      </c>
      <c r="P11" s="97">
        <f t="shared" si="2"/>
        <v>-8.6999999999999966E-2</v>
      </c>
      <c r="Q11" s="92">
        <v>0</v>
      </c>
      <c r="R11" s="92">
        <v>4.5999999999999999E-2</v>
      </c>
      <c r="S11" s="97">
        <f t="shared" si="3"/>
        <v>-4.5999999999999999E-2</v>
      </c>
      <c r="V11" s="100"/>
    </row>
    <row r="12" spans="1:25" x14ac:dyDescent="0.25">
      <c r="C12" s="38"/>
      <c r="E12" s="34"/>
      <c r="H12" s="112"/>
      <c r="J12" s="112"/>
      <c r="M12" s="97"/>
      <c r="P12" s="97"/>
      <c r="S12" s="97"/>
      <c r="V12" s="100"/>
    </row>
    <row r="13" spans="1:25" s="30" customFormat="1" x14ac:dyDescent="0.25">
      <c r="B13" s="32">
        <v>0</v>
      </c>
      <c r="C13" s="81" t="s">
        <v>77</v>
      </c>
      <c r="D13" s="38">
        <v>1</v>
      </c>
      <c r="E13" s="32">
        <v>32.700000000000003</v>
      </c>
      <c r="F13" s="32">
        <v>90.1</v>
      </c>
      <c r="G13" s="30">
        <v>6.05</v>
      </c>
      <c r="H13" s="32">
        <f t="shared" ref="H13:H18" si="4">G13*2</f>
        <v>12.1</v>
      </c>
      <c r="I13" s="30">
        <v>44.7</v>
      </c>
      <c r="J13" s="32">
        <v>277.7</v>
      </c>
      <c r="K13" s="91">
        <v>0.42599999999999999</v>
      </c>
      <c r="L13" s="92">
        <v>0.16500000000000001</v>
      </c>
      <c r="M13" s="97">
        <f t="shared" ref="M13:M18" si="5">K13-L13</f>
        <v>0.26100000000000001</v>
      </c>
      <c r="N13" s="92">
        <v>0.57399999999999995</v>
      </c>
      <c r="O13" s="92">
        <v>0.78</v>
      </c>
      <c r="P13" s="97">
        <f t="shared" ref="P13:P18" si="6">N13-O13</f>
        <v>-0.20600000000000007</v>
      </c>
      <c r="Q13" s="92">
        <v>0</v>
      </c>
      <c r="R13" s="92">
        <v>5.7000000000000002E-2</v>
      </c>
      <c r="S13" s="97">
        <f t="shared" ref="S13:S18" si="7">Q13-R13</f>
        <v>-5.7000000000000002E-2</v>
      </c>
      <c r="T13" s="31"/>
    </row>
    <row r="14" spans="1:25" x14ac:dyDescent="0.25">
      <c r="B14" s="32">
        <v>0</v>
      </c>
      <c r="C14" s="38" t="s">
        <v>77</v>
      </c>
      <c r="D14" s="38">
        <v>2</v>
      </c>
      <c r="E14" s="44">
        <v>32.700000000000003</v>
      </c>
      <c r="F14" s="34">
        <v>90.1</v>
      </c>
      <c r="G14" s="84">
        <v>9.3000000000000007</v>
      </c>
      <c r="H14" s="32">
        <f t="shared" si="4"/>
        <v>18.600000000000001</v>
      </c>
      <c r="I14" s="31">
        <v>36.1</v>
      </c>
      <c r="J14" s="43">
        <v>431.2</v>
      </c>
      <c r="K14" s="91">
        <v>0.22</v>
      </c>
      <c r="L14" s="92">
        <v>6.0999999999999999E-2</v>
      </c>
      <c r="M14" s="97">
        <f t="shared" si="5"/>
        <v>0.159</v>
      </c>
      <c r="N14" s="92">
        <v>0.78</v>
      </c>
      <c r="O14" s="92">
        <v>0.84</v>
      </c>
      <c r="P14" s="97">
        <f t="shared" si="6"/>
        <v>-5.9999999999999942E-2</v>
      </c>
      <c r="Q14" s="92">
        <v>0</v>
      </c>
      <c r="R14" s="92">
        <v>0.1</v>
      </c>
      <c r="S14" s="97">
        <f t="shared" si="7"/>
        <v>-0.1</v>
      </c>
    </row>
    <row r="15" spans="1:25" x14ac:dyDescent="0.25">
      <c r="B15" s="32">
        <v>1</v>
      </c>
      <c r="C15" s="81" t="s">
        <v>77</v>
      </c>
      <c r="D15" s="38">
        <v>2</v>
      </c>
      <c r="E15" s="44">
        <v>32.700000000000003</v>
      </c>
      <c r="F15" s="34">
        <v>90.1</v>
      </c>
      <c r="G15" s="84">
        <v>2.7</v>
      </c>
      <c r="H15" s="32">
        <f t="shared" si="4"/>
        <v>5.4</v>
      </c>
      <c r="I15" s="31">
        <v>54.5</v>
      </c>
      <c r="J15" s="43">
        <v>591.9</v>
      </c>
      <c r="K15" s="91">
        <v>0.5</v>
      </c>
      <c r="L15" s="92">
        <v>0.24399999999999999</v>
      </c>
      <c r="M15" s="97">
        <f t="shared" si="5"/>
        <v>0.25600000000000001</v>
      </c>
      <c r="N15" s="92">
        <v>0.5</v>
      </c>
      <c r="O15" s="92">
        <v>0.69199999999999995</v>
      </c>
      <c r="P15" s="97">
        <f t="shared" si="6"/>
        <v>-0.19199999999999995</v>
      </c>
      <c r="Q15" s="92">
        <v>0</v>
      </c>
      <c r="R15" s="92">
        <v>6.4000000000000001E-2</v>
      </c>
      <c r="S15" s="97">
        <f t="shared" si="7"/>
        <v>-6.4000000000000001E-2</v>
      </c>
    </row>
    <row r="16" spans="1:25" x14ac:dyDescent="0.25">
      <c r="B16" s="32">
        <v>0</v>
      </c>
      <c r="C16" s="38" t="s">
        <v>77</v>
      </c>
      <c r="D16" s="38">
        <v>3</v>
      </c>
      <c r="E16" s="44">
        <v>32.700000000000003</v>
      </c>
      <c r="F16" s="34">
        <v>90.1</v>
      </c>
      <c r="G16" s="84">
        <v>11.3</v>
      </c>
      <c r="H16" s="32">
        <f t="shared" si="4"/>
        <v>22.6</v>
      </c>
      <c r="I16" s="31">
        <v>31.4</v>
      </c>
      <c r="J16" s="43">
        <v>586</v>
      </c>
      <c r="K16" s="91">
        <v>0.11600000000000001</v>
      </c>
      <c r="L16" s="92">
        <v>2.7E-2</v>
      </c>
      <c r="M16" s="97">
        <f t="shared" si="5"/>
        <v>8.900000000000001E-2</v>
      </c>
      <c r="N16" s="92">
        <v>0.88400000000000001</v>
      </c>
      <c r="O16" s="92">
        <v>0.84799999999999998</v>
      </c>
      <c r="P16" s="97">
        <f t="shared" si="6"/>
        <v>3.6000000000000032E-2</v>
      </c>
      <c r="Q16" s="92">
        <v>0</v>
      </c>
      <c r="R16" s="92">
        <v>0.125</v>
      </c>
      <c r="S16" s="97">
        <f t="shared" si="7"/>
        <v>-0.125</v>
      </c>
    </row>
    <row r="17" spans="1:20" x14ac:dyDescent="0.25">
      <c r="B17" s="32">
        <v>1</v>
      </c>
      <c r="C17" s="38" t="s">
        <v>77</v>
      </c>
      <c r="D17" s="38">
        <v>3</v>
      </c>
      <c r="E17" s="44">
        <v>32.700000000000003</v>
      </c>
      <c r="F17" s="34">
        <v>90.1</v>
      </c>
      <c r="G17" s="84">
        <v>4.2</v>
      </c>
      <c r="H17" s="32">
        <f t="shared" si="4"/>
        <v>8.4</v>
      </c>
      <c r="I17" s="31">
        <v>49.3</v>
      </c>
      <c r="J17" s="43">
        <v>745.2</v>
      </c>
      <c r="K17" s="91">
        <v>0.105</v>
      </c>
      <c r="L17" s="92">
        <v>2.1000000000000001E-2</v>
      </c>
      <c r="M17" s="97">
        <f t="shared" si="5"/>
        <v>8.3999999999999991E-2</v>
      </c>
      <c r="N17" s="92">
        <v>0.8</v>
      </c>
      <c r="O17" s="92">
        <v>0.64900000000000002</v>
      </c>
      <c r="P17" s="97">
        <f t="shared" si="6"/>
        <v>0.15100000000000002</v>
      </c>
      <c r="Q17" s="92">
        <v>9.6000000000000002E-2</v>
      </c>
      <c r="R17" s="92">
        <v>0.33</v>
      </c>
      <c r="S17" s="97">
        <f t="shared" si="7"/>
        <v>-0.23400000000000001</v>
      </c>
    </row>
    <row r="18" spans="1:20" x14ac:dyDescent="0.25">
      <c r="B18" s="32">
        <v>2</v>
      </c>
      <c r="C18" s="38" t="s">
        <v>77</v>
      </c>
      <c r="D18" s="38">
        <v>3</v>
      </c>
      <c r="E18" s="44">
        <v>32.700000000000003</v>
      </c>
      <c r="F18" s="34">
        <v>90.1</v>
      </c>
      <c r="G18" s="84">
        <v>1.3</v>
      </c>
      <c r="H18" s="32">
        <f t="shared" si="4"/>
        <v>2.6</v>
      </c>
      <c r="I18" s="31">
        <v>59.7</v>
      </c>
      <c r="J18" s="43">
        <v>905.2</v>
      </c>
      <c r="K18" s="91">
        <v>0.52700000000000002</v>
      </c>
      <c r="L18" s="92">
        <v>0.28100000000000003</v>
      </c>
      <c r="M18" s="97">
        <f t="shared" si="5"/>
        <v>0.246</v>
      </c>
      <c r="N18" s="92">
        <v>0.47199999999999998</v>
      </c>
      <c r="O18" s="92">
        <v>0.65600000000000003</v>
      </c>
      <c r="P18" s="97">
        <f t="shared" si="6"/>
        <v>-0.18400000000000005</v>
      </c>
      <c r="Q18" s="92">
        <v>1E-3</v>
      </c>
      <c r="R18" s="92">
        <v>6.3E-2</v>
      </c>
      <c r="S18" s="97">
        <f t="shared" si="7"/>
        <v>-6.2E-2</v>
      </c>
    </row>
    <row r="20" spans="1:20" x14ac:dyDescent="0.25">
      <c r="A20" s="123" t="s">
        <v>91</v>
      </c>
      <c r="C20" s="121" t="s">
        <v>92</v>
      </c>
      <c r="E20" s="122" t="s">
        <v>86</v>
      </c>
      <c r="F20" s="34">
        <v>96.08</v>
      </c>
      <c r="G20" s="84">
        <v>67.150000000000006</v>
      </c>
      <c r="H20" s="98">
        <f>G20</f>
        <v>67.150000000000006</v>
      </c>
      <c r="I20" s="31">
        <v>0</v>
      </c>
      <c r="J20" s="43">
        <v>238.3</v>
      </c>
      <c r="K20" s="91">
        <v>0.151</v>
      </c>
      <c r="L20" s="92">
        <v>2.1000000000000001E-2</v>
      </c>
      <c r="M20" s="97">
        <f>K20-L20</f>
        <v>0.13</v>
      </c>
      <c r="N20" s="92">
        <v>0.72099999999999997</v>
      </c>
      <c r="O20" s="92">
        <v>0.71499999999999997</v>
      </c>
      <c r="P20" s="97">
        <f>N20-O20</f>
        <v>6.0000000000000053E-3</v>
      </c>
      <c r="Q20" s="92">
        <v>0.128</v>
      </c>
      <c r="R20" s="92">
        <v>0.26400000000000001</v>
      </c>
      <c r="S20" s="97">
        <f>Q20-R20</f>
        <v>-0.13600000000000001</v>
      </c>
      <c r="T20" s="34"/>
    </row>
    <row r="21" spans="1:20" x14ac:dyDescent="0.25">
      <c r="A21" s="30" t="s">
        <v>88</v>
      </c>
      <c r="C21" s="32" t="s">
        <v>85</v>
      </c>
      <c r="D21" s="37"/>
      <c r="E21" s="122" t="s">
        <v>86</v>
      </c>
      <c r="F21" s="34">
        <v>96.08</v>
      </c>
      <c r="G21" s="84">
        <v>5.09</v>
      </c>
      <c r="H21" s="98">
        <f>G21</f>
        <v>5.09</v>
      </c>
      <c r="I21" s="120" t="s">
        <v>87</v>
      </c>
      <c r="J21" s="43">
        <v>218.5</v>
      </c>
      <c r="K21" s="91">
        <v>0.65800000000000003</v>
      </c>
      <c r="L21" s="92">
        <v>0.437</v>
      </c>
      <c r="M21" s="97">
        <f>K21-L21</f>
        <v>0.22100000000000003</v>
      </c>
      <c r="N21" s="92">
        <v>0.34200000000000003</v>
      </c>
      <c r="O21" s="92">
        <v>0.52400000000000002</v>
      </c>
      <c r="P21" s="97">
        <f>N21-O21</f>
        <v>-0.182</v>
      </c>
      <c r="Q21" s="92">
        <v>0</v>
      </c>
      <c r="R21" s="92">
        <v>3.9E-2</v>
      </c>
      <c r="S21" s="97">
        <f>Q21-R21</f>
        <v>-3.9E-2</v>
      </c>
      <c r="T21" s="34"/>
    </row>
    <row r="22" spans="1:20" s="30" customFormat="1" x14ac:dyDescent="0.25">
      <c r="A22" s="32" t="s">
        <v>89</v>
      </c>
      <c r="B22" s="32"/>
      <c r="C22" s="32" t="s">
        <v>85</v>
      </c>
      <c r="D22" s="38"/>
      <c r="E22" s="122" t="s">
        <v>86</v>
      </c>
      <c r="F22" s="34">
        <v>96.08</v>
      </c>
      <c r="G22" s="84">
        <v>7.6</v>
      </c>
      <c r="H22" s="98">
        <f>G22</f>
        <v>7.6</v>
      </c>
      <c r="I22" s="120" t="s">
        <v>90</v>
      </c>
      <c r="J22" s="43">
        <f>217.7</f>
        <v>217.7</v>
      </c>
      <c r="K22" s="91">
        <v>0.58599999999999997</v>
      </c>
      <c r="L22" s="92">
        <v>0.35299999999999998</v>
      </c>
      <c r="M22" s="90">
        <f>K22-L22</f>
        <v>0.23299999999999998</v>
      </c>
      <c r="N22" s="92">
        <v>0.41299999999999998</v>
      </c>
      <c r="O22" s="92">
        <v>0.59099999999999997</v>
      </c>
      <c r="P22" s="90">
        <f>N22-O22</f>
        <v>-0.17799999999999999</v>
      </c>
      <c r="Q22" s="92">
        <v>0</v>
      </c>
      <c r="R22" s="92">
        <v>5.6000000000000001E-2</v>
      </c>
      <c r="S22" s="90">
        <f>Q22-R22</f>
        <v>-5.6000000000000001E-2</v>
      </c>
    </row>
    <row r="23" spans="1:20" x14ac:dyDescent="0.25">
      <c r="C23" s="38"/>
      <c r="M23" s="90"/>
      <c r="P23" s="90"/>
      <c r="S23" s="90"/>
    </row>
    <row r="24" spans="1:20" x14ac:dyDescent="0.25">
      <c r="A24" s="30"/>
      <c r="B24" s="30" t="s">
        <v>82</v>
      </c>
      <c r="C24" s="37" t="s">
        <v>83</v>
      </c>
      <c r="M24" s="109"/>
      <c r="P24" s="97"/>
      <c r="S24" s="97"/>
      <c r="T24" s="34"/>
    </row>
    <row r="25" spans="1:20" x14ac:dyDescent="0.25">
      <c r="A25" s="30" t="s">
        <v>80</v>
      </c>
      <c r="B25" s="32">
        <v>3.9615</v>
      </c>
      <c r="C25" s="38">
        <v>1.0930420000000001</v>
      </c>
      <c r="H25" s="98"/>
      <c r="M25" s="97"/>
      <c r="P25" s="97"/>
      <c r="S25" s="97"/>
      <c r="T25" s="34"/>
    </row>
    <row r="26" spans="1:20" x14ac:dyDescent="0.25">
      <c r="A26" s="30" t="s">
        <v>81</v>
      </c>
      <c r="B26" s="108">
        <v>4.7876000000000003</v>
      </c>
      <c r="C26" s="38">
        <v>2.240748</v>
      </c>
      <c r="M26" s="97"/>
      <c r="P26" s="97"/>
      <c r="S26" s="97"/>
      <c r="T26" s="34"/>
    </row>
    <row r="27" spans="1:20" s="101" customFormat="1" x14ac:dyDescent="0.25">
      <c r="A27" s="32"/>
      <c r="B27" s="32"/>
      <c r="C27" s="38"/>
      <c r="E27" s="102"/>
      <c r="F27" s="87"/>
      <c r="G27" s="99"/>
      <c r="H27" s="103"/>
      <c r="I27" s="85"/>
      <c r="J27" s="104"/>
      <c r="K27" s="105"/>
      <c r="L27" s="106"/>
      <c r="M27" s="113"/>
      <c r="N27" s="106"/>
      <c r="O27" s="106"/>
      <c r="P27" s="107"/>
      <c r="Q27" s="106"/>
      <c r="R27" s="106"/>
      <c r="S27" s="107"/>
      <c r="T27" s="87"/>
    </row>
    <row r="28" spans="1:20" x14ac:dyDescent="0.25">
      <c r="C28" s="38"/>
      <c r="M28" s="97"/>
      <c r="P28" s="97"/>
      <c r="S28" s="97"/>
      <c r="T28" s="34"/>
    </row>
    <row r="29" spans="1:20" x14ac:dyDescent="0.25">
      <c r="C29" s="38"/>
      <c r="M29" s="109"/>
      <c r="P29" s="97"/>
      <c r="S29" s="97"/>
      <c r="T29" s="34"/>
    </row>
    <row r="30" spans="1:20" x14ac:dyDescent="0.25">
      <c r="C30" s="38"/>
      <c r="M30" s="97"/>
      <c r="P30" s="97"/>
      <c r="S30" s="97"/>
    </row>
    <row r="31" spans="1:20" x14ac:dyDescent="0.25">
      <c r="C31" s="38"/>
      <c r="M31" s="97"/>
      <c r="P31" s="97"/>
      <c r="S31" s="97"/>
    </row>
    <row r="32" spans="1:20" x14ac:dyDescent="0.25">
      <c r="A32" s="30"/>
      <c r="B32" s="30"/>
      <c r="C32" s="38"/>
    </row>
    <row r="33" spans="1:19" x14ac:dyDescent="0.25">
      <c r="C33" s="38"/>
      <c r="H33" s="34"/>
      <c r="M33" s="97"/>
      <c r="P33" s="97"/>
      <c r="S33" s="97"/>
    </row>
    <row r="34" spans="1:19" x14ac:dyDescent="0.25">
      <c r="A34" s="30"/>
      <c r="B34" s="30"/>
      <c r="C34" s="38"/>
      <c r="H34" s="112"/>
      <c r="M34" s="97"/>
      <c r="P34" s="97"/>
      <c r="S34" s="97"/>
    </row>
    <row r="35" spans="1:19" x14ac:dyDescent="0.25">
      <c r="C35" s="38"/>
      <c r="H35" s="112"/>
      <c r="M35" s="97"/>
      <c r="P35" s="97"/>
      <c r="S35" s="97"/>
    </row>
    <row r="36" spans="1:19" x14ac:dyDescent="0.25">
      <c r="C36" s="37"/>
      <c r="K36" s="92"/>
      <c r="M36" s="97"/>
      <c r="P36" s="97"/>
      <c r="S36" s="97"/>
    </row>
    <row r="37" spans="1:19" x14ac:dyDescent="0.25">
      <c r="C37" s="38"/>
      <c r="H37" s="98"/>
      <c r="M37" s="97"/>
      <c r="P37" s="97"/>
      <c r="S37" s="97"/>
    </row>
    <row r="38" spans="1:19" x14ac:dyDescent="0.25">
      <c r="C38" s="38"/>
      <c r="H38" s="98"/>
      <c r="I38" s="84"/>
      <c r="M38" s="97"/>
      <c r="P38" s="97"/>
      <c r="S38" s="97"/>
    </row>
    <row r="39" spans="1:19" x14ac:dyDescent="0.25">
      <c r="C39" s="38"/>
      <c r="H39" s="98"/>
    </row>
    <row r="40" spans="1:19" x14ac:dyDescent="0.25">
      <c r="C40" s="38"/>
      <c r="H40" s="98"/>
    </row>
    <row r="41" spans="1:19" x14ac:dyDescent="0.25">
      <c r="C41" s="38"/>
      <c r="H41" s="98"/>
    </row>
    <row r="42" spans="1:19" x14ac:dyDescent="0.25">
      <c r="H42" s="98"/>
      <c r="K42" s="92"/>
    </row>
  </sheetData>
  <mergeCells count="14">
    <mergeCell ref="T1:T2"/>
    <mergeCell ref="V2:W2"/>
    <mergeCell ref="X2:Y2"/>
    <mergeCell ref="G1:G2"/>
    <mergeCell ref="H1:H2"/>
    <mergeCell ref="I1:I2"/>
    <mergeCell ref="J1:J2"/>
    <mergeCell ref="K1:M1"/>
    <mergeCell ref="N1:P1"/>
    <mergeCell ref="A1:A2"/>
    <mergeCell ref="C1:C2"/>
    <mergeCell ref="E1:E2"/>
    <mergeCell ref="F1:F2"/>
    <mergeCell ref="Q1:S1"/>
  </mergeCells>
  <conditionalFormatting sqref="M1:M1048576">
    <cfRule type="top10" dxfId="14" priority="1" percent="1" rank="25"/>
  </conditionalFormatting>
  <hyperlinks>
    <hyperlink ref="A20" r:id="rId1" xr:uid="{0CA2BC15-2917-4413-A3B6-CA9BB1B2A3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A96-3BF9-4079-BB84-B7E23DF33659}">
  <dimension ref="A1:Y25"/>
  <sheetViews>
    <sheetView zoomScale="130" zoomScaleNormal="130" workbookViewId="0">
      <selection activeCell="O16" sqref="O16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7" t="s">
        <v>0</v>
      </c>
      <c r="B1" s="114" t="s">
        <v>68</v>
      </c>
      <c r="C1" s="170" t="s">
        <v>69</v>
      </c>
      <c r="D1" s="30" t="s">
        <v>67</v>
      </c>
      <c r="E1" s="151" t="s">
        <v>30</v>
      </c>
      <c r="F1" s="153" t="s">
        <v>29</v>
      </c>
      <c r="G1" s="155" t="s">
        <v>32</v>
      </c>
      <c r="H1" s="169" t="s">
        <v>27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47" t="s">
        <v>72</v>
      </c>
    </row>
    <row r="2" spans="1:25" s="36" customFormat="1" ht="16.5" thickBot="1" x14ac:dyDescent="0.3">
      <c r="A2" s="148"/>
      <c r="B2" s="115"/>
      <c r="C2" s="171"/>
      <c r="E2" s="152"/>
      <c r="F2" s="154"/>
      <c r="G2" s="156"/>
      <c r="H2" s="148"/>
      <c r="I2" s="154"/>
      <c r="J2" s="168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48"/>
      <c r="V2" s="154"/>
      <c r="W2" s="154"/>
      <c r="X2" s="154"/>
      <c r="Y2" s="154"/>
    </row>
    <row r="3" spans="1:25" x14ac:dyDescent="0.25">
      <c r="A3" s="32">
        <v>600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74.5</v>
      </c>
      <c r="H3" s="98">
        <f>G3</f>
        <v>74.5</v>
      </c>
      <c r="I3" s="31">
        <v>0</v>
      </c>
      <c r="J3" s="43">
        <v>74.5</v>
      </c>
      <c r="K3" s="91">
        <v>0.17599999999999999</v>
      </c>
      <c r="L3" s="92">
        <v>2.1000000000000001E-2</v>
      </c>
      <c r="M3" s="41">
        <f>K3-L3</f>
        <v>0.155</v>
      </c>
      <c r="N3" s="92">
        <v>0.60899999999999999</v>
      </c>
      <c r="O3" s="92">
        <v>0.495</v>
      </c>
      <c r="P3" s="41">
        <f>N3-O3</f>
        <v>0.11399999999999999</v>
      </c>
      <c r="Q3" s="92">
        <v>0.216</v>
      </c>
      <c r="R3" s="92">
        <v>0.48399999999999999</v>
      </c>
      <c r="S3" s="41">
        <f>Q3-R3</f>
        <v>-0.26800000000000002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37.1</v>
      </c>
      <c r="F4" s="34">
        <v>101.8</v>
      </c>
      <c r="G4" s="84">
        <v>55.3</v>
      </c>
      <c r="H4" s="98">
        <f t="shared" ref="H4:H11" si="0">G4</f>
        <v>55.3</v>
      </c>
      <c r="I4" s="31">
        <v>15.6</v>
      </c>
      <c r="J4" s="83">
        <v>145.1</v>
      </c>
      <c r="K4" s="91">
        <v>0.42199999999999999</v>
      </c>
      <c r="L4" s="92">
        <v>0.109</v>
      </c>
      <c r="M4" s="41">
        <f t="shared" ref="M4:M17" si="1">K4-L4</f>
        <v>0.313</v>
      </c>
      <c r="N4" s="92">
        <v>0.57799999999999996</v>
      </c>
      <c r="O4" s="92">
        <v>0.82699999999999996</v>
      </c>
      <c r="P4" s="41">
        <f t="shared" ref="P4:P17" si="2">N4-O4</f>
        <v>-0.249</v>
      </c>
      <c r="Q4" s="92">
        <v>0</v>
      </c>
      <c r="R4" s="92">
        <v>6.4000000000000001E-2</v>
      </c>
      <c r="S4" s="41">
        <f t="shared" ref="S4:S17" si="3">Q4-R4</f>
        <v>-6.4000000000000001E-2</v>
      </c>
      <c r="T4" s="34"/>
    </row>
    <row r="5" spans="1:25" x14ac:dyDescent="0.25">
      <c r="B5" s="108">
        <v>0</v>
      </c>
      <c r="C5" s="108" t="s">
        <v>75</v>
      </c>
      <c r="D5" s="38">
        <v>1</v>
      </c>
      <c r="E5" s="44">
        <v>37.1</v>
      </c>
      <c r="F5" s="34">
        <v>101.8</v>
      </c>
      <c r="G5" s="84">
        <v>55.7</v>
      </c>
      <c r="H5" s="98">
        <f t="shared" si="0"/>
        <v>55.7</v>
      </c>
      <c r="I5" s="31">
        <v>7.9</v>
      </c>
      <c r="J5" s="43">
        <v>313.7</v>
      </c>
      <c r="K5" s="91">
        <v>0.34</v>
      </c>
      <c r="L5" s="92">
        <v>7.4999999999999997E-2</v>
      </c>
      <c r="M5" s="41">
        <f t="shared" si="1"/>
        <v>0.26500000000000001</v>
      </c>
      <c r="N5" s="92">
        <v>0.66</v>
      </c>
      <c r="O5" s="92">
        <v>0.80200000000000005</v>
      </c>
      <c r="P5" s="41">
        <f t="shared" si="2"/>
        <v>-0.14200000000000002</v>
      </c>
      <c r="Q5" s="92">
        <v>0</v>
      </c>
      <c r="R5" s="92">
        <v>0.123</v>
      </c>
      <c r="S5" s="41">
        <f t="shared" si="3"/>
        <v>-0.123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37.1</v>
      </c>
      <c r="F6" s="34">
        <v>101.8</v>
      </c>
      <c r="G6" s="84">
        <v>45.7</v>
      </c>
      <c r="H6" s="98">
        <f t="shared" si="0"/>
        <v>45.7</v>
      </c>
      <c r="I6" s="30">
        <v>17.7</v>
      </c>
      <c r="J6" s="83">
        <v>489.5</v>
      </c>
      <c r="K6" s="95">
        <v>0.44900000000000001</v>
      </c>
      <c r="L6" s="96">
        <v>0.13</v>
      </c>
      <c r="M6" s="41">
        <f t="shared" si="1"/>
        <v>0.31900000000000001</v>
      </c>
      <c r="N6" s="96">
        <v>0.55100000000000005</v>
      </c>
      <c r="O6" s="96">
        <v>0.81100000000000005</v>
      </c>
      <c r="P6" s="41">
        <f t="shared" si="2"/>
        <v>-0.26</v>
      </c>
      <c r="Q6" s="96">
        <v>0</v>
      </c>
      <c r="R6" s="96">
        <v>5.8999999999999997E-2</v>
      </c>
      <c r="S6" s="41">
        <f t="shared" si="3"/>
        <v>-5.8999999999999997E-2</v>
      </c>
    </row>
    <row r="7" spans="1:25" x14ac:dyDescent="0.25">
      <c r="B7" s="108">
        <v>0</v>
      </c>
      <c r="C7" s="108" t="s">
        <v>75</v>
      </c>
      <c r="D7" s="38">
        <v>2</v>
      </c>
      <c r="E7" s="44">
        <v>37.1</v>
      </c>
      <c r="F7" s="34">
        <v>101.8</v>
      </c>
      <c r="G7" s="84">
        <v>56.8</v>
      </c>
      <c r="H7" s="98">
        <f t="shared" si="0"/>
        <v>56.8</v>
      </c>
      <c r="I7" s="31">
        <v>1.8</v>
      </c>
      <c r="J7" s="43">
        <v>484.6</v>
      </c>
      <c r="K7" s="91">
        <v>0.23100000000000001</v>
      </c>
      <c r="L7" s="92">
        <v>4.2999999999999997E-2</v>
      </c>
      <c r="M7" s="41">
        <f t="shared" si="1"/>
        <v>0.188</v>
      </c>
      <c r="N7" s="92">
        <v>0.76900000000000002</v>
      </c>
      <c r="O7" s="92">
        <v>0.77800000000000002</v>
      </c>
      <c r="P7" s="41">
        <f t="shared" si="2"/>
        <v>-9.000000000000008E-3</v>
      </c>
      <c r="Q7" s="92">
        <v>0</v>
      </c>
      <c r="R7" s="92">
        <v>0.17899999999999999</v>
      </c>
      <c r="S7" s="41">
        <f t="shared" si="3"/>
        <v>-0.17899999999999999</v>
      </c>
    </row>
    <row r="8" spans="1:25" x14ac:dyDescent="0.25">
      <c r="B8" s="108">
        <v>1</v>
      </c>
      <c r="C8" s="108" t="s">
        <v>75</v>
      </c>
      <c r="D8" s="38">
        <v>2</v>
      </c>
      <c r="E8" s="44">
        <v>37.1</v>
      </c>
      <c r="F8" s="34">
        <v>101.8</v>
      </c>
      <c r="G8" s="84">
        <v>48.7</v>
      </c>
      <c r="H8" s="98">
        <f t="shared" si="0"/>
        <v>48.7</v>
      </c>
      <c r="I8" s="31">
        <v>12.4</v>
      </c>
      <c r="J8" s="43">
        <v>663.2</v>
      </c>
      <c r="K8" s="91">
        <v>0.307</v>
      </c>
      <c r="L8" s="92">
        <v>6.7000000000000004E-2</v>
      </c>
      <c r="M8" s="41">
        <f t="shared" si="1"/>
        <v>0.24</v>
      </c>
      <c r="N8" s="92">
        <v>0.69299999999999995</v>
      </c>
      <c r="O8" s="92">
        <v>0.8</v>
      </c>
      <c r="P8" s="41">
        <f t="shared" si="2"/>
        <v>-0.1070000000000001</v>
      </c>
      <c r="Q8" s="92">
        <v>0</v>
      </c>
      <c r="R8" s="92">
        <v>0.13300000000000001</v>
      </c>
      <c r="S8" s="41">
        <f t="shared" si="3"/>
        <v>-0.13300000000000001</v>
      </c>
      <c r="T8" s="34"/>
    </row>
    <row r="9" spans="1:25" x14ac:dyDescent="0.25">
      <c r="B9" s="108">
        <v>2</v>
      </c>
      <c r="C9" s="108" t="s">
        <v>78</v>
      </c>
      <c r="D9" s="38">
        <v>2</v>
      </c>
      <c r="E9" s="44">
        <v>37.1</v>
      </c>
      <c r="F9" s="34">
        <v>101.8</v>
      </c>
      <c r="G9" s="84">
        <v>37.9</v>
      </c>
      <c r="H9" s="98">
        <f t="shared" si="0"/>
        <v>37.9</v>
      </c>
      <c r="I9" s="31">
        <v>24.8</v>
      </c>
      <c r="J9" s="43">
        <v>840.8</v>
      </c>
      <c r="K9" s="91">
        <v>0.40899999999999997</v>
      </c>
      <c r="L9" s="92">
        <v>0.129</v>
      </c>
      <c r="M9" s="41">
        <f t="shared" si="1"/>
        <v>0.27999999999999997</v>
      </c>
      <c r="N9" s="92">
        <v>0.59099999999999997</v>
      </c>
      <c r="O9" s="92">
        <v>0.79800000000000004</v>
      </c>
      <c r="P9" s="41">
        <f t="shared" si="2"/>
        <v>-0.20700000000000007</v>
      </c>
      <c r="Q9" s="92">
        <v>0</v>
      </c>
      <c r="R9" s="92">
        <v>7.2999999999999995E-2</v>
      </c>
      <c r="S9" s="41">
        <f t="shared" si="3"/>
        <v>-7.2999999999999995E-2</v>
      </c>
      <c r="T9" s="34"/>
    </row>
    <row r="10" spans="1:25" x14ac:dyDescent="0.25">
      <c r="B10" s="108">
        <v>1</v>
      </c>
      <c r="C10" s="108" t="s">
        <v>78</v>
      </c>
      <c r="D10" s="38">
        <v>3</v>
      </c>
      <c r="E10" s="44">
        <v>37.1</v>
      </c>
      <c r="F10" s="34">
        <v>101.8</v>
      </c>
      <c r="G10" s="84">
        <v>50.4</v>
      </c>
      <c r="H10" s="98">
        <f t="shared" si="0"/>
        <v>50.4</v>
      </c>
      <c r="I10" s="31">
        <v>9.1</v>
      </c>
      <c r="J10" s="43">
        <v>837.6</v>
      </c>
      <c r="K10" s="91">
        <v>0.189</v>
      </c>
      <c r="L10" s="92">
        <v>3.4000000000000002E-2</v>
      </c>
      <c r="M10" s="41">
        <f t="shared" si="1"/>
        <v>0.155</v>
      </c>
      <c r="N10" s="91">
        <v>0.81100000000000005</v>
      </c>
      <c r="O10" s="92">
        <v>0.77900000000000003</v>
      </c>
      <c r="P10" s="41">
        <f t="shared" si="2"/>
        <v>3.2000000000000028E-2</v>
      </c>
      <c r="Q10" s="91">
        <v>0</v>
      </c>
      <c r="R10" s="92">
        <v>0.187</v>
      </c>
      <c r="S10" s="41">
        <f t="shared" si="3"/>
        <v>-0.187</v>
      </c>
      <c r="T10" s="34"/>
    </row>
    <row r="11" spans="1:25" s="101" customFormat="1" x14ac:dyDescent="0.25">
      <c r="A11" s="32"/>
      <c r="B11" s="108">
        <v>2</v>
      </c>
      <c r="C11" s="108" t="s">
        <v>78</v>
      </c>
      <c r="D11" s="117">
        <v>3</v>
      </c>
      <c r="E11" s="44">
        <v>37.1</v>
      </c>
      <c r="F11" s="34">
        <v>101.8</v>
      </c>
      <c r="G11" s="84">
        <v>42</v>
      </c>
      <c r="H11" s="98">
        <f t="shared" si="0"/>
        <v>42</v>
      </c>
      <c r="I11" s="31">
        <v>20.100000000000001</v>
      </c>
      <c r="J11" s="43">
        <v>1016.2</v>
      </c>
      <c r="K11" s="91">
        <v>0.255</v>
      </c>
      <c r="L11" s="92">
        <v>5.8999999999999997E-2</v>
      </c>
      <c r="M11" s="41">
        <f t="shared" si="1"/>
        <v>0.19600000000000001</v>
      </c>
      <c r="N11" s="92">
        <v>0.745</v>
      </c>
      <c r="O11" s="92">
        <v>0.80600000000000005</v>
      </c>
      <c r="P11" s="41">
        <f t="shared" si="2"/>
        <v>-6.1000000000000054E-2</v>
      </c>
      <c r="Q11" s="91">
        <v>0</v>
      </c>
      <c r="R11" s="92">
        <v>0.13500000000000001</v>
      </c>
      <c r="S11" s="41">
        <f t="shared" si="3"/>
        <v>-0.13500000000000001</v>
      </c>
      <c r="T11" s="87"/>
    </row>
    <row r="12" spans="1:25" x14ac:dyDescent="0.25">
      <c r="C12" s="108"/>
      <c r="T12" s="34"/>
    </row>
    <row r="13" spans="1:25" x14ac:dyDescent="0.25">
      <c r="B13" s="108">
        <v>0</v>
      </c>
      <c r="C13" s="38" t="s">
        <v>77</v>
      </c>
      <c r="D13" s="38">
        <v>1</v>
      </c>
      <c r="E13" s="44">
        <v>37.1</v>
      </c>
      <c r="F13" s="34">
        <v>101.8</v>
      </c>
      <c r="G13" s="84">
        <v>11.3</v>
      </c>
      <c r="H13" s="32">
        <v>22.5</v>
      </c>
      <c r="I13" s="31">
        <v>36.5</v>
      </c>
      <c r="J13" s="43">
        <v>309.2</v>
      </c>
      <c r="K13" s="91">
        <v>0.439</v>
      </c>
      <c r="L13" s="92">
        <v>0.11799999999999999</v>
      </c>
      <c r="M13" s="41">
        <f t="shared" si="1"/>
        <v>0.32100000000000001</v>
      </c>
      <c r="N13" s="92">
        <v>0.56100000000000005</v>
      </c>
      <c r="O13" s="92">
        <v>0.76300000000000001</v>
      </c>
      <c r="P13" s="41">
        <f t="shared" si="2"/>
        <v>-0.20199999999999996</v>
      </c>
      <c r="Q13" s="92">
        <v>0</v>
      </c>
      <c r="R13" s="92">
        <v>0.11799999999999999</v>
      </c>
      <c r="S13" s="41">
        <f t="shared" si="3"/>
        <v>-0.11799999999999999</v>
      </c>
      <c r="T13" s="34"/>
    </row>
    <row r="14" spans="1:25" x14ac:dyDescent="0.25">
      <c r="B14" s="108">
        <v>0</v>
      </c>
      <c r="C14" s="38" t="s">
        <v>79</v>
      </c>
      <c r="D14" s="38">
        <v>2</v>
      </c>
      <c r="E14" s="44">
        <v>37.1</v>
      </c>
      <c r="F14" s="34">
        <v>101.8</v>
      </c>
      <c r="G14" s="84">
        <v>21.7</v>
      </c>
      <c r="H14" s="32">
        <v>43.5</v>
      </c>
      <c r="I14" s="31">
        <v>13.3</v>
      </c>
      <c r="J14" s="43">
        <v>482.9</v>
      </c>
      <c r="K14" s="91">
        <v>0.23899999999999999</v>
      </c>
      <c r="L14" s="92">
        <v>4.3999999999999997E-2</v>
      </c>
      <c r="M14" s="41">
        <f t="shared" si="1"/>
        <v>0.19500000000000001</v>
      </c>
      <c r="N14" s="92">
        <v>0.76100000000000001</v>
      </c>
      <c r="O14" s="92">
        <v>0.76800000000000002</v>
      </c>
      <c r="P14" s="41">
        <f t="shared" si="2"/>
        <v>-7.0000000000000062E-3</v>
      </c>
      <c r="Q14" s="92">
        <v>0</v>
      </c>
      <c r="R14" s="92">
        <v>0.187</v>
      </c>
      <c r="S14" s="41">
        <f t="shared" si="3"/>
        <v>-0.187</v>
      </c>
    </row>
    <row r="15" spans="1:25" x14ac:dyDescent="0.25">
      <c r="A15" s="30"/>
      <c r="B15" s="108">
        <v>1</v>
      </c>
      <c r="C15" s="38" t="s">
        <v>79</v>
      </c>
      <c r="D15" s="38">
        <v>2</v>
      </c>
      <c r="E15" s="44">
        <v>37.1</v>
      </c>
      <c r="F15" s="34">
        <v>101.8</v>
      </c>
      <c r="G15" s="84">
        <v>4.9000000000000004</v>
      </c>
      <c r="H15" s="32">
        <v>9.8000000000000007</v>
      </c>
      <c r="I15" s="31">
        <v>54</v>
      </c>
      <c r="J15" s="43">
        <v>665.9</v>
      </c>
      <c r="K15" s="91">
        <v>0.503</v>
      </c>
      <c r="L15" s="92">
        <v>0.18</v>
      </c>
      <c r="M15" s="41">
        <f t="shared" si="1"/>
        <v>0.32300000000000001</v>
      </c>
      <c r="N15" s="92">
        <v>0.497</v>
      </c>
      <c r="O15" s="92">
        <v>0.69499999999999995</v>
      </c>
      <c r="P15" s="41">
        <f t="shared" si="2"/>
        <v>-0.19799999999999995</v>
      </c>
      <c r="Q15" s="92">
        <v>0</v>
      </c>
      <c r="R15" s="92">
        <v>0.126</v>
      </c>
      <c r="S15" s="41">
        <f t="shared" si="3"/>
        <v>-0.126</v>
      </c>
    </row>
    <row r="16" spans="1:25" x14ac:dyDescent="0.25">
      <c r="B16" s="108">
        <v>1</v>
      </c>
      <c r="C16" s="38" t="s">
        <v>79</v>
      </c>
      <c r="D16" s="38">
        <v>3</v>
      </c>
      <c r="E16" s="44">
        <v>37.1</v>
      </c>
      <c r="F16" s="34">
        <v>101.8</v>
      </c>
      <c r="G16" s="84">
        <v>8</v>
      </c>
      <c r="H16" s="34">
        <v>16</v>
      </c>
      <c r="I16" s="31">
        <v>44</v>
      </c>
      <c r="J16" s="43">
        <v>838.1</v>
      </c>
      <c r="K16" s="91">
        <v>0.26300000000000001</v>
      </c>
      <c r="L16" s="92">
        <v>0.06</v>
      </c>
      <c r="M16" s="41">
        <f t="shared" si="1"/>
        <v>0.20300000000000001</v>
      </c>
      <c r="N16" s="92">
        <v>0.73699999999999999</v>
      </c>
      <c r="O16" s="92">
        <v>0.73599999999999999</v>
      </c>
      <c r="P16" s="41">
        <f t="shared" si="2"/>
        <v>1.0000000000000009E-3</v>
      </c>
      <c r="Q16" s="92">
        <v>0</v>
      </c>
      <c r="R16" s="92">
        <v>0.20499999999999999</v>
      </c>
      <c r="S16" s="41">
        <f t="shared" si="3"/>
        <v>-0.20499999999999999</v>
      </c>
    </row>
    <row r="17" spans="1:19" x14ac:dyDescent="0.25">
      <c r="A17" s="30"/>
      <c r="B17" s="108">
        <v>2</v>
      </c>
      <c r="C17" s="38" t="s">
        <v>79</v>
      </c>
      <c r="D17" s="38">
        <v>3</v>
      </c>
      <c r="E17" s="44">
        <v>37.1</v>
      </c>
      <c r="F17" s="34">
        <v>101.8</v>
      </c>
      <c r="G17" s="84">
        <v>2.4</v>
      </c>
      <c r="H17" s="112">
        <v>4.8</v>
      </c>
      <c r="I17" s="31">
        <v>63.5</v>
      </c>
      <c r="J17" s="43">
        <v>1022.3</v>
      </c>
      <c r="K17" s="91">
        <v>0.52100000000000002</v>
      </c>
      <c r="L17" s="92">
        <v>0.21</v>
      </c>
      <c r="M17" s="41">
        <f t="shared" si="1"/>
        <v>0.31100000000000005</v>
      </c>
      <c r="N17" s="92">
        <v>0.47899999999999998</v>
      </c>
      <c r="O17" s="92">
        <v>0.65400000000000003</v>
      </c>
      <c r="P17" s="41">
        <f t="shared" si="2"/>
        <v>-0.17500000000000004</v>
      </c>
      <c r="Q17" s="92">
        <v>0</v>
      </c>
      <c r="R17" s="92">
        <v>0.13600000000000001</v>
      </c>
      <c r="S17" s="41">
        <f t="shared" si="3"/>
        <v>-0.13600000000000001</v>
      </c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4.0286999999999997</v>
      </c>
      <c r="C21" s="38">
        <v>0.70210899999999998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5.0734000000000004</v>
      </c>
      <c r="C22" s="38">
        <v>1.668933</v>
      </c>
      <c r="H22" s="98"/>
    </row>
    <row r="23" spans="1:19" x14ac:dyDescent="0.25">
      <c r="C23" s="108"/>
      <c r="H23" s="98"/>
    </row>
    <row r="24" spans="1:19" x14ac:dyDescent="0.25"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phoneticPr fontId="1" type="noConversion"/>
  <conditionalFormatting sqref="M4:M17">
    <cfRule type="cellIs" dxfId="13" priority="1" operator="greaterThan">
      <formula>$M$3</formula>
    </cfRule>
  </conditionalFormatting>
  <conditionalFormatting sqref="M23:M25">
    <cfRule type="cellIs" dxfId="1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B2BD-93DD-45DD-89C8-7A5E1FBCD2B4}">
  <dimension ref="A1:Y25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7" t="s">
        <v>0</v>
      </c>
      <c r="B1" s="114" t="s">
        <v>68</v>
      </c>
      <c r="C1" s="170" t="s">
        <v>69</v>
      </c>
      <c r="D1" s="30" t="s">
        <v>67</v>
      </c>
      <c r="E1" s="151" t="s">
        <v>30</v>
      </c>
      <c r="F1" s="153" t="s">
        <v>29</v>
      </c>
      <c r="G1" s="155" t="s">
        <v>32</v>
      </c>
      <c r="H1" s="169" t="s">
        <v>27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47" t="s">
        <v>72</v>
      </c>
    </row>
    <row r="2" spans="1:25" s="36" customFormat="1" ht="16.5" thickBot="1" x14ac:dyDescent="0.3">
      <c r="A2" s="148"/>
      <c r="B2" s="115"/>
      <c r="C2" s="171"/>
      <c r="E2" s="152"/>
      <c r="F2" s="154"/>
      <c r="G2" s="156"/>
      <c r="H2" s="148"/>
      <c r="I2" s="154"/>
      <c r="J2" s="168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48"/>
      <c r="V2" s="154"/>
      <c r="W2" s="154"/>
      <c r="X2" s="154"/>
      <c r="Y2" s="154"/>
    </row>
    <row r="3" spans="1:25" x14ac:dyDescent="0.25">
      <c r="A3" s="32">
        <v>700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89.6</v>
      </c>
      <c r="H3" s="98">
        <f t="shared" ref="H3:H9" si="0">G3</f>
        <v>89.6</v>
      </c>
      <c r="I3" s="31">
        <v>0</v>
      </c>
      <c r="J3" s="43">
        <v>89.6</v>
      </c>
      <c r="K3" s="91">
        <v>0.48299999999999998</v>
      </c>
      <c r="L3" s="92">
        <v>0.06</v>
      </c>
      <c r="M3" s="41">
        <f>K3-L3</f>
        <v>0.42299999999999999</v>
      </c>
      <c r="N3" s="92">
        <v>0.45100000000000001</v>
      </c>
      <c r="O3" s="92">
        <v>0.43</v>
      </c>
      <c r="P3" s="41">
        <f>N3-O3</f>
        <v>2.1000000000000019E-2</v>
      </c>
      <c r="Q3" s="92">
        <v>6.6000000000000003E-2</v>
      </c>
      <c r="R3" s="92">
        <v>0.51</v>
      </c>
      <c r="S3" s="41">
        <f>Q3-R3</f>
        <v>-0.44400000000000001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43.5</v>
      </c>
      <c r="F4" s="34">
        <v>119</v>
      </c>
      <c r="G4" s="84">
        <v>67</v>
      </c>
      <c r="H4" s="98">
        <f t="shared" si="0"/>
        <v>67</v>
      </c>
      <c r="I4" s="31">
        <v>9.6999999999999993</v>
      </c>
      <c r="J4" s="83">
        <v>163.69999999999999</v>
      </c>
      <c r="K4" s="91">
        <v>0.71399999999999997</v>
      </c>
      <c r="L4" s="92">
        <v>0.215</v>
      </c>
      <c r="M4" s="41">
        <f t="shared" ref="M4:M12" si="1">K4-L4</f>
        <v>0.499</v>
      </c>
      <c r="N4" s="92">
        <v>0.28599999999999998</v>
      </c>
      <c r="O4" s="92">
        <v>0.64600000000000002</v>
      </c>
      <c r="P4" s="41">
        <f t="shared" ref="P4:P12" si="2">N4-O4</f>
        <v>-0.36000000000000004</v>
      </c>
      <c r="Q4" s="92">
        <v>0</v>
      </c>
      <c r="R4" s="92">
        <v>0.14000000000000001</v>
      </c>
      <c r="S4" s="41">
        <f t="shared" ref="S4:S9" si="3">Q4-R4</f>
        <v>-0.14000000000000001</v>
      </c>
      <c r="T4" s="34"/>
    </row>
    <row r="5" spans="1:25" x14ac:dyDescent="0.25">
      <c r="B5" s="108">
        <v>1</v>
      </c>
      <c r="C5" s="108" t="s">
        <v>75</v>
      </c>
      <c r="D5" s="38">
        <v>0</v>
      </c>
      <c r="E5" s="44">
        <v>43.5</v>
      </c>
      <c r="F5" s="34">
        <v>119</v>
      </c>
      <c r="G5" s="84">
        <v>51.3</v>
      </c>
      <c r="H5" s="98">
        <f t="shared" si="0"/>
        <v>51.3</v>
      </c>
      <c r="I5" s="31">
        <v>27.3</v>
      </c>
      <c r="J5" s="43">
        <v>371.5</v>
      </c>
      <c r="K5" s="91">
        <v>0.79600000000000004</v>
      </c>
      <c r="L5" s="92">
        <v>0.36299999999999999</v>
      </c>
      <c r="M5" s="41">
        <f t="shared" si="1"/>
        <v>0.43300000000000005</v>
      </c>
      <c r="N5" s="92">
        <v>0.20399999999999999</v>
      </c>
      <c r="O5" s="92">
        <v>0.60199999999999998</v>
      </c>
      <c r="P5" s="41">
        <f t="shared" si="2"/>
        <v>-0.39800000000000002</v>
      </c>
      <c r="Q5" s="92">
        <v>0</v>
      </c>
      <c r="R5" s="92">
        <v>3.5000000000000003E-2</v>
      </c>
      <c r="S5" s="41">
        <f t="shared" si="3"/>
        <v>-3.5000000000000003E-2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43.5</v>
      </c>
      <c r="F6" s="34">
        <v>119</v>
      </c>
      <c r="G6" s="84">
        <v>59.2</v>
      </c>
      <c r="H6" s="98">
        <f t="shared" si="0"/>
        <v>59.2</v>
      </c>
      <c r="I6" s="30">
        <v>12.2</v>
      </c>
      <c r="J6" s="83">
        <v>570.20000000000005</v>
      </c>
      <c r="K6" s="91">
        <v>0.69499999999999995</v>
      </c>
      <c r="L6" s="92">
        <v>0.184</v>
      </c>
      <c r="M6" s="41">
        <f t="shared" si="1"/>
        <v>0.5109999999999999</v>
      </c>
      <c r="N6" s="92">
        <v>0.30499999999999999</v>
      </c>
      <c r="O6" s="92">
        <v>0.61</v>
      </c>
      <c r="P6" s="41">
        <f t="shared" si="2"/>
        <v>-0.30499999999999999</v>
      </c>
      <c r="Q6" s="92">
        <v>0</v>
      </c>
      <c r="R6" s="92">
        <v>0.20599999999999999</v>
      </c>
      <c r="S6" s="41">
        <f t="shared" si="3"/>
        <v>-0.20599999999999999</v>
      </c>
    </row>
    <row r="7" spans="1:25" x14ac:dyDescent="0.25">
      <c r="B7" s="108">
        <v>1</v>
      </c>
      <c r="C7" s="108" t="s">
        <v>75</v>
      </c>
      <c r="D7" s="38">
        <v>2</v>
      </c>
      <c r="E7" s="44">
        <v>43.5</v>
      </c>
      <c r="F7" s="34">
        <v>119</v>
      </c>
      <c r="G7" s="84">
        <v>63.4</v>
      </c>
      <c r="H7" s="98">
        <f t="shared" si="0"/>
        <v>63.4</v>
      </c>
      <c r="I7" s="31">
        <v>1.3</v>
      </c>
      <c r="J7" s="43">
        <v>769.5</v>
      </c>
      <c r="K7" s="91">
        <v>0.53700000000000003</v>
      </c>
      <c r="L7" s="92">
        <v>8.5999999999999993E-2</v>
      </c>
      <c r="M7" s="41">
        <f t="shared" si="1"/>
        <v>0.45100000000000007</v>
      </c>
      <c r="N7" s="92">
        <v>0.46100000000000002</v>
      </c>
      <c r="O7" s="92">
        <v>0.55300000000000005</v>
      </c>
      <c r="P7" s="41">
        <f t="shared" si="2"/>
        <v>-9.2000000000000026E-2</v>
      </c>
      <c r="Q7" s="92">
        <v>2E-3</v>
      </c>
      <c r="R7" s="92">
        <v>0.36099999999999999</v>
      </c>
      <c r="S7" s="41">
        <f t="shared" si="3"/>
        <v>-0.35899999999999999</v>
      </c>
    </row>
    <row r="8" spans="1:25" x14ac:dyDescent="0.25">
      <c r="B8" s="108">
        <v>2</v>
      </c>
      <c r="C8" s="108" t="s">
        <v>75</v>
      </c>
      <c r="D8" s="38">
        <v>1</v>
      </c>
      <c r="E8" s="44">
        <v>43.5</v>
      </c>
      <c r="F8" s="34">
        <v>119</v>
      </c>
      <c r="G8" s="84">
        <v>41.9</v>
      </c>
      <c r="H8" s="98">
        <f t="shared" si="0"/>
        <v>41.9</v>
      </c>
      <c r="I8" s="31">
        <v>33.4</v>
      </c>
      <c r="J8" s="43">
        <v>780.1</v>
      </c>
      <c r="K8" s="91">
        <v>0.78600000000000003</v>
      </c>
      <c r="L8" s="92">
        <v>0.35599999999999998</v>
      </c>
      <c r="M8" s="41">
        <f t="shared" si="1"/>
        <v>0.43000000000000005</v>
      </c>
      <c r="N8" s="92">
        <v>0.214</v>
      </c>
      <c r="O8" s="92">
        <v>0.54500000000000004</v>
      </c>
      <c r="P8" s="41">
        <f t="shared" si="2"/>
        <v>-0.33100000000000007</v>
      </c>
      <c r="Q8" s="92">
        <v>0</v>
      </c>
      <c r="R8" s="92">
        <v>9.8000000000000004E-2</v>
      </c>
      <c r="S8" s="41">
        <f t="shared" si="3"/>
        <v>-9.8000000000000004E-2</v>
      </c>
      <c r="T8" s="34"/>
    </row>
    <row r="9" spans="1:25" x14ac:dyDescent="0.25">
      <c r="B9" s="108">
        <v>2</v>
      </c>
      <c r="C9" s="108" t="s">
        <v>75</v>
      </c>
      <c r="D9" s="38">
        <v>2</v>
      </c>
      <c r="E9" s="44">
        <v>43.5</v>
      </c>
      <c r="F9" s="34">
        <v>119</v>
      </c>
      <c r="G9" s="84">
        <v>54.1</v>
      </c>
      <c r="H9" s="98">
        <f t="shared" si="0"/>
        <v>54.1</v>
      </c>
      <c r="I9" s="31">
        <v>17.5</v>
      </c>
      <c r="J9" s="43">
        <v>982.4</v>
      </c>
      <c r="K9" s="91">
        <v>0.625</v>
      </c>
      <c r="L9" s="92">
        <v>0.13100000000000001</v>
      </c>
      <c r="M9" s="41">
        <f t="shared" si="1"/>
        <v>0.49399999999999999</v>
      </c>
      <c r="N9" s="92">
        <v>0.375</v>
      </c>
      <c r="O9" s="92">
        <v>0.57499999999999996</v>
      </c>
      <c r="P9" s="41">
        <f t="shared" si="2"/>
        <v>-0.19999999999999996</v>
      </c>
      <c r="Q9" s="92">
        <v>0</v>
      </c>
      <c r="R9" s="92">
        <v>0.29399999999999998</v>
      </c>
      <c r="S9" s="41">
        <f t="shared" si="3"/>
        <v>-0.29399999999999998</v>
      </c>
      <c r="T9" s="34"/>
    </row>
    <row r="10" spans="1:25" x14ac:dyDescent="0.25">
      <c r="C10" s="108"/>
      <c r="H10" s="98"/>
      <c r="M10" s="97"/>
      <c r="N10" s="91"/>
      <c r="P10" s="97"/>
      <c r="Q10" s="91"/>
      <c r="S10" s="97"/>
      <c r="T10" s="34"/>
    </row>
    <row r="11" spans="1:25" s="101" customFormat="1" x14ac:dyDescent="0.25">
      <c r="A11" s="32"/>
      <c r="B11" s="108">
        <v>1</v>
      </c>
      <c r="C11" s="38" t="s">
        <v>77</v>
      </c>
      <c r="D11" s="38">
        <v>2</v>
      </c>
      <c r="E11" s="44">
        <v>43.5</v>
      </c>
      <c r="F11" s="34">
        <v>119</v>
      </c>
      <c r="G11" s="84">
        <v>31.1</v>
      </c>
      <c r="H11" s="98">
        <f>G11*2</f>
        <v>62.2</v>
      </c>
      <c r="I11" s="31">
        <v>1.7</v>
      </c>
      <c r="J11" s="43">
        <v>768.7</v>
      </c>
      <c r="K11" s="91">
        <v>0.53300000000000003</v>
      </c>
      <c r="L11" s="92">
        <v>8.1000000000000003E-2</v>
      </c>
      <c r="M11" s="41">
        <f t="shared" si="1"/>
        <v>0.45200000000000001</v>
      </c>
      <c r="N11" s="92">
        <v>0.46600000000000003</v>
      </c>
      <c r="O11" s="92">
        <v>0.53800000000000003</v>
      </c>
      <c r="P11" s="41">
        <f t="shared" si="2"/>
        <v>-7.2000000000000008E-2</v>
      </c>
      <c r="Q11" s="92">
        <v>0</v>
      </c>
      <c r="R11" s="92">
        <v>0.38100000000000001</v>
      </c>
      <c r="S11" s="41">
        <f>Q11-R11</f>
        <v>-0.38100000000000001</v>
      </c>
      <c r="T11" s="87"/>
    </row>
    <row r="12" spans="1:25" x14ac:dyDescent="0.25">
      <c r="B12" s="108">
        <v>2</v>
      </c>
      <c r="C12" s="38" t="s">
        <v>77</v>
      </c>
      <c r="D12" s="38">
        <v>3</v>
      </c>
      <c r="E12" s="44">
        <v>43.5</v>
      </c>
      <c r="F12" s="34">
        <v>119</v>
      </c>
      <c r="G12" s="84">
        <v>9.4</v>
      </c>
      <c r="H12" s="32">
        <f>G12*2</f>
        <v>18.8</v>
      </c>
      <c r="I12" s="31">
        <v>51.1</v>
      </c>
      <c r="J12" s="43">
        <v>1186.5999999999999</v>
      </c>
      <c r="K12" s="91">
        <v>0.52800000000000002</v>
      </c>
      <c r="L12" s="92">
        <v>7.4999999999999997E-2</v>
      </c>
      <c r="M12" s="41">
        <f t="shared" si="1"/>
        <v>0.45300000000000001</v>
      </c>
      <c r="N12" s="92">
        <v>0.47099999999999997</v>
      </c>
      <c r="O12" s="92">
        <v>0.48499999999999999</v>
      </c>
      <c r="P12" s="41">
        <f t="shared" si="2"/>
        <v>-1.4000000000000012E-2</v>
      </c>
      <c r="Q12" s="92">
        <v>0</v>
      </c>
      <c r="R12" s="92">
        <v>0.44</v>
      </c>
      <c r="S12" s="41">
        <f>Q12-R12</f>
        <v>-0.44</v>
      </c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3.9072</v>
      </c>
      <c r="C21" s="38">
        <v>0.25019599999999997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5.1289999999999996</v>
      </c>
      <c r="C22" s="38">
        <v>0.92266700000000001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2">
    <cfRule type="cellIs" dxfId="11" priority="1" operator="greaterThan">
      <formula>$M$3</formula>
    </cfRule>
  </conditionalFormatting>
  <conditionalFormatting sqref="M23:M25">
    <cfRule type="cellIs" dxfId="10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3644-111D-4FC3-90B7-D98EA9993FEE}">
  <dimension ref="A1:Y25"/>
  <sheetViews>
    <sheetView zoomScale="130" zoomScaleNormal="130" workbookViewId="0">
      <selection activeCell="H17" sqref="H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7" t="s">
        <v>0</v>
      </c>
      <c r="B1" s="114" t="s">
        <v>68</v>
      </c>
      <c r="C1" s="170" t="s">
        <v>69</v>
      </c>
      <c r="D1" s="30" t="s">
        <v>67</v>
      </c>
      <c r="E1" s="151" t="s">
        <v>30</v>
      </c>
      <c r="F1" s="153" t="s">
        <v>29</v>
      </c>
      <c r="G1" s="155" t="s">
        <v>32</v>
      </c>
      <c r="H1" s="169" t="s">
        <v>27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47" t="s">
        <v>72</v>
      </c>
    </row>
    <row r="2" spans="1:25" s="36" customFormat="1" ht="16.5" thickBot="1" x14ac:dyDescent="0.3">
      <c r="A2" s="148"/>
      <c r="B2" s="115"/>
      <c r="C2" s="171"/>
      <c r="E2" s="152"/>
      <c r="F2" s="154"/>
      <c r="G2" s="156"/>
      <c r="H2" s="148"/>
      <c r="I2" s="154"/>
      <c r="J2" s="168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48"/>
      <c r="V2" s="154"/>
      <c r="W2" s="154"/>
      <c r="X2" s="154"/>
      <c r="Y2" s="154"/>
    </row>
    <row r="3" spans="1:25" x14ac:dyDescent="0.25">
      <c r="A3" s="32">
        <v>800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109.2</v>
      </c>
      <c r="H3" s="98">
        <f>G3</f>
        <v>109.2</v>
      </c>
      <c r="I3" s="31">
        <v>0</v>
      </c>
      <c r="J3" s="43">
        <f>G3</f>
        <v>109.2</v>
      </c>
      <c r="K3" s="91">
        <v>0.91</v>
      </c>
      <c r="L3" s="92">
        <v>0.11600000000000001</v>
      </c>
      <c r="M3" s="41">
        <f>K3-L3</f>
        <v>0.79400000000000004</v>
      </c>
      <c r="N3" s="92">
        <v>8.7999999999999995E-2</v>
      </c>
      <c r="O3" s="92">
        <v>0.27500000000000002</v>
      </c>
      <c r="P3" s="41">
        <f>N3-O3</f>
        <v>-0.18700000000000003</v>
      </c>
      <c r="Q3" s="92">
        <v>2E-3</v>
      </c>
      <c r="R3" s="92">
        <v>0.60899999999999999</v>
      </c>
      <c r="S3" s="41">
        <f>Q3-R3</f>
        <v>-0.60699999999999998</v>
      </c>
    </row>
    <row r="4" spans="1:25" x14ac:dyDescent="0.25">
      <c r="A4" s="30"/>
      <c r="B4" s="108">
        <v>1</v>
      </c>
      <c r="C4" s="108" t="s">
        <v>75</v>
      </c>
      <c r="D4" s="38">
        <v>0</v>
      </c>
      <c r="E4" s="44">
        <v>49.9</v>
      </c>
      <c r="F4" s="34">
        <v>136.1</v>
      </c>
      <c r="G4" s="84">
        <v>20.6</v>
      </c>
      <c r="H4" s="98">
        <f>G4</f>
        <v>20.6</v>
      </c>
      <c r="I4" s="31">
        <v>69.400000000000006</v>
      </c>
      <c r="J4" s="83">
        <v>425.6</v>
      </c>
      <c r="K4" s="91">
        <v>0.98499999999999999</v>
      </c>
      <c r="L4" s="92">
        <v>0.69</v>
      </c>
      <c r="M4" s="41">
        <f>K4-L4</f>
        <v>0.29500000000000004</v>
      </c>
      <c r="N4" s="92">
        <v>1.4999999999999999E-2</v>
      </c>
      <c r="O4" s="92">
        <v>0.19400000000000001</v>
      </c>
      <c r="P4" s="41">
        <f>N4-O4</f>
        <v>-0.17899999999999999</v>
      </c>
      <c r="Q4" s="92">
        <v>0</v>
      </c>
      <c r="R4" s="92">
        <v>0.11600000000000001</v>
      </c>
      <c r="S4" s="41">
        <f>Q4-R4</f>
        <v>-0.11600000000000001</v>
      </c>
      <c r="T4" s="34"/>
    </row>
    <row r="5" spans="1:25" x14ac:dyDescent="0.25">
      <c r="B5" s="108">
        <v>1</v>
      </c>
      <c r="C5" s="108" t="s">
        <v>75</v>
      </c>
      <c r="D5" s="38">
        <v>1</v>
      </c>
      <c r="E5" s="44">
        <v>49.9</v>
      </c>
      <c r="F5" s="34">
        <v>136.1</v>
      </c>
      <c r="G5" s="84">
        <v>75.7</v>
      </c>
      <c r="H5" s="98">
        <f>G5</f>
        <v>75.7</v>
      </c>
      <c r="I5" s="31">
        <v>2.4</v>
      </c>
      <c r="J5" s="43">
        <v>649.5</v>
      </c>
      <c r="K5" s="91">
        <v>0.94899999999999995</v>
      </c>
      <c r="L5" s="92">
        <v>0.22900000000000001</v>
      </c>
      <c r="M5" s="41">
        <f>K5-L5</f>
        <v>0.72</v>
      </c>
      <c r="N5" s="92">
        <v>0.05</v>
      </c>
      <c r="O5" s="92">
        <v>0.33700000000000002</v>
      </c>
      <c r="P5" s="41">
        <f>N5-O5</f>
        <v>-0.28700000000000003</v>
      </c>
      <c r="Q5" s="92">
        <v>0</v>
      </c>
      <c r="R5" s="92">
        <v>0.434</v>
      </c>
      <c r="S5" s="41">
        <f>Q5-R5</f>
        <v>-0.434</v>
      </c>
      <c r="T5" s="34"/>
    </row>
    <row r="6" spans="1:25" s="30" customFormat="1" x14ac:dyDescent="0.25">
      <c r="B6" s="108">
        <v>2</v>
      </c>
      <c r="C6" s="108" t="s">
        <v>75</v>
      </c>
      <c r="D6" s="32">
        <v>1</v>
      </c>
      <c r="E6" s="44">
        <v>49.9</v>
      </c>
      <c r="F6" s="34">
        <v>136.1</v>
      </c>
      <c r="G6" s="84">
        <v>54.7</v>
      </c>
      <c r="H6" s="98">
        <f>G6</f>
        <v>54.7</v>
      </c>
      <c r="I6" s="30">
        <v>33.299999999999997</v>
      </c>
      <c r="J6" s="83">
        <v>895.2</v>
      </c>
      <c r="K6" s="91">
        <v>0.96899999999999997</v>
      </c>
      <c r="L6" s="92">
        <v>0.46600000000000003</v>
      </c>
      <c r="M6" s="41">
        <f>K6-L6</f>
        <v>0.50299999999999989</v>
      </c>
      <c r="N6" s="92">
        <v>0.03</v>
      </c>
      <c r="O6" s="92">
        <v>0.33200000000000002</v>
      </c>
      <c r="P6" s="41">
        <f>N6-O6</f>
        <v>-0.30200000000000005</v>
      </c>
      <c r="Q6" s="92">
        <v>1E-3</v>
      </c>
      <c r="R6" s="92">
        <v>0.20200000000000001</v>
      </c>
      <c r="S6" s="41">
        <f>Q6-R6</f>
        <v>-0.20100000000000001</v>
      </c>
    </row>
    <row r="7" spans="1:25" x14ac:dyDescent="0.25">
      <c r="B7" s="108">
        <v>2</v>
      </c>
      <c r="C7" s="108" t="s">
        <v>75</v>
      </c>
      <c r="D7" s="38">
        <v>2</v>
      </c>
      <c r="E7" s="44">
        <v>49.9</v>
      </c>
      <c r="F7" s="34">
        <v>136.1</v>
      </c>
      <c r="G7" s="84">
        <v>73.099999999999994</v>
      </c>
      <c r="H7" s="98">
        <f>G7</f>
        <v>73.099999999999994</v>
      </c>
      <c r="I7" s="31">
        <v>4.2</v>
      </c>
      <c r="J7" s="43">
        <v>1120.3</v>
      </c>
      <c r="K7" s="91">
        <v>0.92300000000000004</v>
      </c>
      <c r="L7" s="92">
        <v>0.111</v>
      </c>
      <c r="M7" s="41">
        <f>K7-L7</f>
        <v>0.81200000000000006</v>
      </c>
      <c r="N7" s="92">
        <v>7.5999999999999998E-2</v>
      </c>
      <c r="O7" s="92">
        <v>0.25900000000000001</v>
      </c>
      <c r="P7" s="41">
        <f>N7-O7</f>
        <v>-0.183</v>
      </c>
      <c r="Q7" s="92">
        <v>1E-3</v>
      </c>
      <c r="R7" s="92">
        <v>0.63</v>
      </c>
      <c r="S7" s="41">
        <f>Q7-R7</f>
        <v>-0.629</v>
      </c>
    </row>
    <row r="8" spans="1:25" x14ac:dyDescent="0.25">
      <c r="T8" s="34"/>
    </row>
    <row r="9" spans="1:25" x14ac:dyDescent="0.25">
      <c r="T9" s="34"/>
    </row>
    <row r="10" spans="1:25" x14ac:dyDescent="0.25">
      <c r="B10" s="108">
        <v>0</v>
      </c>
      <c r="C10" s="38" t="s">
        <v>84</v>
      </c>
      <c r="D10" s="38">
        <v>1</v>
      </c>
      <c r="E10" s="44">
        <v>49.9</v>
      </c>
      <c r="F10" s="34">
        <v>136.1</v>
      </c>
      <c r="G10" s="84">
        <v>19.8</v>
      </c>
      <c r="H10" s="98">
        <f>G10</f>
        <v>19.8</v>
      </c>
      <c r="I10" s="31">
        <v>70.8</v>
      </c>
      <c r="J10" s="43">
        <v>426.1</v>
      </c>
      <c r="K10" s="91">
        <v>0.98399999999999999</v>
      </c>
      <c r="L10" s="92">
        <v>0.69</v>
      </c>
      <c r="M10" s="41">
        <f>K10-L10</f>
        <v>0.29400000000000004</v>
      </c>
      <c r="N10" s="92">
        <v>1.54E-2</v>
      </c>
      <c r="O10" s="92">
        <v>0.2</v>
      </c>
      <c r="P10" s="41">
        <f>N10-O10</f>
        <v>-0.18460000000000001</v>
      </c>
      <c r="Q10" s="92">
        <v>0</v>
      </c>
      <c r="R10" s="92">
        <v>0.115</v>
      </c>
      <c r="S10" s="41">
        <f>Q10-R10</f>
        <v>-0.115</v>
      </c>
      <c r="T10" s="34"/>
    </row>
    <row r="11" spans="1:25" s="101" customFormat="1" x14ac:dyDescent="0.25">
      <c r="A11" s="32"/>
      <c r="B11" s="108">
        <v>1</v>
      </c>
      <c r="C11" s="38" t="s">
        <v>84</v>
      </c>
      <c r="D11" s="38">
        <v>2</v>
      </c>
      <c r="E11" s="44">
        <v>49.9</v>
      </c>
      <c r="F11" s="34">
        <v>136.1</v>
      </c>
      <c r="G11" s="84">
        <v>19.899999999999999</v>
      </c>
      <c r="H11" s="98">
        <f>G11</f>
        <v>19.899999999999999</v>
      </c>
      <c r="I11" s="31">
        <v>68.900000000000006</v>
      </c>
      <c r="J11" s="43">
        <v>896.1</v>
      </c>
      <c r="K11" s="91">
        <v>0.97699999999999998</v>
      </c>
      <c r="L11" s="92">
        <v>0.56100000000000005</v>
      </c>
      <c r="M11" s="41">
        <f>K11-L11</f>
        <v>0.41599999999999993</v>
      </c>
      <c r="N11" s="92">
        <v>2.24E-2</v>
      </c>
      <c r="O11" s="92">
        <v>0.23</v>
      </c>
      <c r="P11" s="41">
        <f>N11-O11</f>
        <v>-0.20760000000000001</v>
      </c>
      <c r="Q11" s="92">
        <v>0</v>
      </c>
      <c r="R11" s="92">
        <v>0.20599999999999999</v>
      </c>
      <c r="S11" s="41">
        <f>Q11-R11</f>
        <v>-0.20599999999999999</v>
      </c>
      <c r="T11" s="87"/>
    </row>
    <row r="12" spans="1:25" x14ac:dyDescent="0.25">
      <c r="C12" s="38"/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3.6627000000000001</v>
      </c>
      <c r="C21" s="38">
        <v>2.7737999999999999E-2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4.9420000000000002</v>
      </c>
      <c r="C22" s="38">
        <v>0.40686299999999997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4:M7 M10:M11">
    <cfRule type="cellIs" dxfId="9" priority="1" operator="greaterThan">
      <formula>$M$3</formula>
    </cfRule>
  </conditionalFormatting>
  <conditionalFormatting sqref="M23:M25">
    <cfRule type="cellIs" dxfId="8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C9F4-FBF0-43BC-93B8-9C26388C4D3B}">
  <dimension ref="A1:Y30"/>
  <sheetViews>
    <sheetView zoomScale="130" zoomScaleNormal="130" workbookViewId="0">
      <selection activeCell="T7" sqref="T7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7" t="s">
        <v>0</v>
      </c>
      <c r="B1" s="31" t="s">
        <v>68</v>
      </c>
      <c r="C1" s="149" t="s">
        <v>69</v>
      </c>
      <c r="D1" s="30" t="s">
        <v>67</v>
      </c>
      <c r="E1" s="151" t="s">
        <v>30</v>
      </c>
      <c r="F1" s="153" t="s">
        <v>29</v>
      </c>
      <c r="G1" s="155" t="s">
        <v>32</v>
      </c>
      <c r="H1" s="165" t="s">
        <v>66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57" t="s">
        <v>19</v>
      </c>
    </row>
    <row r="2" spans="1:25" s="36" customFormat="1" ht="16.5" thickBot="1" x14ac:dyDescent="0.3">
      <c r="A2" s="148"/>
      <c r="B2" s="86"/>
      <c r="C2" s="150"/>
      <c r="E2" s="152"/>
      <c r="F2" s="154"/>
      <c r="G2" s="156"/>
      <c r="H2" s="166"/>
      <c r="I2" s="154"/>
      <c r="J2" s="168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58"/>
      <c r="V2" s="154"/>
      <c r="W2" s="154"/>
      <c r="X2" s="154"/>
      <c r="Y2" s="154"/>
    </row>
    <row r="3" spans="1:25" s="30" customFormat="1" x14ac:dyDescent="0.25">
      <c r="A3" s="30">
        <v>1064</v>
      </c>
      <c r="B3" s="30">
        <v>0</v>
      </c>
      <c r="C3" s="45" t="s">
        <v>74</v>
      </c>
      <c r="D3" s="30">
        <v>0</v>
      </c>
      <c r="E3" s="82">
        <v>0</v>
      </c>
      <c r="F3" s="31">
        <v>0</v>
      </c>
      <c r="G3" s="84">
        <v>157.9</v>
      </c>
      <c r="H3" s="32">
        <f>G3</f>
        <v>157.9</v>
      </c>
      <c r="I3" s="30">
        <v>0</v>
      </c>
      <c r="J3" s="83">
        <f>H3</f>
        <v>157.9</v>
      </c>
      <c r="K3" s="95">
        <v>1</v>
      </c>
      <c r="L3" s="96">
        <v>0.28699999999999998</v>
      </c>
      <c r="M3" s="90">
        <f>K3-L3</f>
        <v>0.71300000000000008</v>
      </c>
      <c r="N3" s="96">
        <v>3.3299999999999999E-16</v>
      </c>
      <c r="O3" s="96">
        <v>1.2999999999999999E-2</v>
      </c>
      <c r="P3" s="90">
        <f>N3-O3</f>
        <v>-1.2999999999999666E-2</v>
      </c>
      <c r="Q3" s="96">
        <v>0</v>
      </c>
      <c r="R3" s="96">
        <v>0.7</v>
      </c>
      <c r="S3" s="90">
        <f>Q3-R3</f>
        <v>-0.7</v>
      </c>
      <c r="T3" s="35" t="s">
        <v>97</v>
      </c>
    </row>
    <row r="4" spans="1:25" x14ac:dyDescent="0.25">
      <c r="B4" s="32">
        <v>1</v>
      </c>
      <c r="C4" s="81" t="s">
        <v>74</v>
      </c>
      <c r="D4" s="38">
        <v>1</v>
      </c>
      <c r="E4" s="44">
        <v>66.599999999999994</v>
      </c>
      <c r="F4" s="34">
        <v>181.3</v>
      </c>
      <c r="G4" s="84">
        <v>107.3</v>
      </c>
      <c r="H4" s="32">
        <f>G4</f>
        <v>107.3</v>
      </c>
      <c r="I4" s="31">
        <v>0</v>
      </c>
      <c r="J4" s="43">
        <v>869.6</v>
      </c>
      <c r="K4" s="91">
        <v>1</v>
      </c>
      <c r="L4" s="92">
        <v>0.54400000000000004</v>
      </c>
      <c r="M4" s="97">
        <f>K4-L4</f>
        <v>0.45599999999999996</v>
      </c>
      <c r="N4" s="92">
        <v>-4.4400000000000002E-16</v>
      </c>
      <c r="O4" s="92">
        <v>1.4999999999999999E-2</v>
      </c>
      <c r="P4" s="97">
        <f>N4-O4</f>
        <v>-1.5000000000000444E-2</v>
      </c>
      <c r="Q4" s="92">
        <v>0</v>
      </c>
      <c r="R4" s="92">
        <v>0.44</v>
      </c>
      <c r="S4" s="97">
        <f>Q4-R4</f>
        <v>-0.44</v>
      </c>
      <c r="T4" s="35" t="s">
        <v>108</v>
      </c>
    </row>
    <row r="5" spans="1:25" x14ac:dyDescent="0.25">
      <c r="B5" s="32">
        <v>2</v>
      </c>
      <c r="C5" s="81" t="s">
        <v>74</v>
      </c>
      <c r="D5" s="38">
        <v>2</v>
      </c>
      <c r="E5" s="44">
        <v>66.599999999999994</v>
      </c>
      <c r="F5" s="34">
        <v>181.3</v>
      </c>
      <c r="G5" s="84">
        <v>105</v>
      </c>
      <c r="H5" s="32">
        <f>G5</f>
        <v>105</v>
      </c>
      <c r="I5" s="31">
        <v>0</v>
      </c>
      <c r="J5" s="43">
        <v>1496.4</v>
      </c>
      <c r="K5" s="91">
        <v>1</v>
      </c>
      <c r="L5" s="92">
        <v>0.26600000000000001</v>
      </c>
      <c r="M5" s="97">
        <f>K5-L5</f>
        <v>0.73399999999999999</v>
      </c>
      <c r="N5" s="92">
        <v>1.1100000000000001E-15</v>
      </c>
      <c r="O5" s="92">
        <v>1.2E-2</v>
      </c>
      <c r="P5" s="97">
        <f>N5-O5</f>
        <v>-1.199999999999889E-2</v>
      </c>
      <c r="Q5" s="92">
        <v>0</v>
      </c>
      <c r="R5" s="92">
        <v>0.72199999999999998</v>
      </c>
      <c r="S5" s="97">
        <f>Q5-R5</f>
        <v>-0.72199999999999998</v>
      </c>
      <c r="T5" s="71"/>
    </row>
    <row r="6" spans="1:25" x14ac:dyDescent="0.25">
      <c r="B6" s="32">
        <v>3</v>
      </c>
      <c r="C6" s="81" t="s">
        <v>74</v>
      </c>
      <c r="D6" s="38">
        <v>3</v>
      </c>
      <c r="E6" s="44">
        <v>66.599999999999994</v>
      </c>
      <c r="F6" s="34">
        <v>181.3</v>
      </c>
      <c r="G6" s="84">
        <v>104.4</v>
      </c>
      <c r="H6" s="98">
        <f>G6</f>
        <v>104.4</v>
      </c>
      <c r="I6" s="31">
        <v>0</v>
      </c>
      <c r="J6" s="43">
        <v>2124.8000000000002</v>
      </c>
      <c r="K6" s="91">
        <v>1</v>
      </c>
      <c r="L6" s="92">
        <v>9.6000000000000002E-2</v>
      </c>
      <c r="M6" s="97">
        <f>K6-L6</f>
        <v>0.90400000000000003</v>
      </c>
      <c r="N6" s="92">
        <v>0</v>
      </c>
      <c r="O6" s="92">
        <v>8.0000000000000002E-3</v>
      </c>
      <c r="P6" s="97">
        <f>N6-O6</f>
        <v>-8.0000000000000002E-3</v>
      </c>
      <c r="Q6" s="92">
        <v>0</v>
      </c>
      <c r="R6" s="92">
        <v>0.89600000000000002</v>
      </c>
      <c r="S6" s="97">
        <f>Q6-R6</f>
        <v>-0.89600000000000002</v>
      </c>
      <c r="T6" s="71"/>
    </row>
    <row r="7" spans="1:25" x14ac:dyDescent="0.25">
      <c r="C7" s="38"/>
      <c r="M7" s="97"/>
      <c r="P7" s="97"/>
      <c r="S7" s="97"/>
    </row>
    <row r="8" spans="1:25" x14ac:dyDescent="0.25">
      <c r="A8" s="30"/>
      <c r="B8" s="30">
        <v>1</v>
      </c>
      <c r="C8" s="38" t="s">
        <v>70</v>
      </c>
      <c r="D8" s="38">
        <v>0</v>
      </c>
      <c r="E8" s="44">
        <v>66.599999999999994</v>
      </c>
      <c r="F8" s="34">
        <v>181.3</v>
      </c>
      <c r="G8" s="84">
        <v>83.2</v>
      </c>
      <c r="H8" s="32">
        <f>G8</f>
        <v>83.2</v>
      </c>
      <c r="I8" s="31">
        <v>31.1</v>
      </c>
      <c r="J8" s="43">
        <v>562.1</v>
      </c>
      <c r="K8" s="91">
        <v>0.94440000000000002</v>
      </c>
      <c r="L8" s="92">
        <v>0.98899999999999999</v>
      </c>
      <c r="M8" s="41">
        <f t="shared" ref="M8:M17" si="0">L8-K8</f>
        <v>4.4599999999999973E-2</v>
      </c>
      <c r="N8" s="92">
        <v>1.2199999999999999E-15</v>
      </c>
      <c r="O8" s="92">
        <v>0.01</v>
      </c>
      <c r="P8" s="41">
        <f>O8-N8</f>
        <v>9.9999999999987807E-3</v>
      </c>
      <c r="Q8" s="92">
        <v>5.6000000000000001E-2</v>
      </c>
      <c r="R8" s="92">
        <v>0</v>
      </c>
      <c r="S8" s="41">
        <f>R8-Q8</f>
        <v>-5.6000000000000001E-2</v>
      </c>
    </row>
    <row r="9" spans="1:25" x14ac:dyDescent="0.25">
      <c r="B9" s="32">
        <v>2</v>
      </c>
      <c r="C9" s="38" t="s">
        <v>70</v>
      </c>
      <c r="D9" s="38">
        <v>1</v>
      </c>
      <c r="E9" s="44">
        <v>66.599999999999994</v>
      </c>
      <c r="F9" s="34">
        <v>181.3</v>
      </c>
      <c r="G9" s="84">
        <v>75.8</v>
      </c>
      <c r="H9" s="34">
        <v>33.299999999999997</v>
      </c>
      <c r="I9" s="31">
        <v>0</v>
      </c>
      <c r="J9" s="43">
        <v>1185.9000000000001</v>
      </c>
      <c r="K9" s="91">
        <v>0.84899999999999998</v>
      </c>
      <c r="L9" s="92">
        <v>0.98699999999999999</v>
      </c>
      <c r="M9" s="97">
        <f>L9-K9</f>
        <v>0.13800000000000001</v>
      </c>
      <c r="N9" s="92">
        <v>-4.4400000000000002E-16</v>
      </c>
      <c r="O9" s="92">
        <v>0.01</v>
      </c>
      <c r="P9" s="97">
        <f>O9-N9</f>
        <v>1.0000000000000444E-2</v>
      </c>
      <c r="Q9" s="92">
        <v>0.151</v>
      </c>
      <c r="R9" s="92">
        <v>0</v>
      </c>
      <c r="S9" s="97">
        <f>R9-Q9</f>
        <v>-0.151</v>
      </c>
    </row>
    <row r="10" spans="1:25" x14ac:dyDescent="0.25">
      <c r="A10" s="30"/>
      <c r="B10" s="30">
        <v>3</v>
      </c>
      <c r="C10" s="38" t="s">
        <v>70</v>
      </c>
      <c r="D10" s="38">
        <v>1</v>
      </c>
      <c r="E10" s="44">
        <v>66.599999999999994</v>
      </c>
      <c r="F10" s="34">
        <v>181.3</v>
      </c>
      <c r="G10" s="84">
        <v>46.1</v>
      </c>
      <c r="H10" s="112">
        <f>G10</f>
        <v>46.1</v>
      </c>
      <c r="I10" s="31">
        <v>66.599999999999994</v>
      </c>
      <c r="J10" s="43">
        <v>1504.1</v>
      </c>
      <c r="K10" s="91">
        <v>0.80200000000000005</v>
      </c>
      <c r="L10" s="92">
        <v>0.98299999999999998</v>
      </c>
      <c r="M10" s="97">
        <f t="shared" si="0"/>
        <v>0.18099999999999994</v>
      </c>
      <c r="N10" s="92">
        <v>5.5500000000000005E-16</v>
      </c>
      <c r="O10" s="92">
        <v>0.01</v>
      </c>
      <c r="P10" s="97">
        <f>O10-N10</f>
        <v>9.9999999999994451E-3</v>
      </c>
      <c r="Q10" s="92">
        <v>0.19800000000000001</v>
      </c>
      <c r="R10" s="92">
        <v>7.0000000000000001E-3</v>
      </c>
      <c r="S10" s="97">
        <f>R10-Q10</f>
        <v>-0.191</v>
      </c>
    </row>
    <row r="11" spans="1:25" x14ac:dyDescent="0.25">
      <c r="B11" s="32">
        <v>3</v>
      </c>
      <c r="C11" s="38" t="s">
        <v>70</v>
      </c>
      <c r="D11" s="38">
        <v>2</v>
      </c>
      <c r="E11" s="44">
        <v>66.599999999999994</v>
      </c>
      <c r="F11" s="34">
        <v>181.3</v>
      </c>
      <c r="G11" s="84">
        <v>73.400000000000006</v>
      </c>
      <c r="H11" s="112">
        <f>G11</f>
        <v>73.400000000000006</v>
      </c>
      <c r="I11" s="31">
        <v>34.299999999999997</v>
      </c>
      <c r="J11" s="43">
        <v>1813.6</v>
      </c>
      <c r="K11" s="91">
        <v>0.626</v>
      </c>
      <c r="L11" s="92">
        <v>0.97899999999999998</v>
      </c>
      <c r="M11" s="97">
        <f t="shared" si="0"/>
        <v>0.35299999999999998</v>
      </c>
      <c r="N11" s="92">
        <v>8.8800000000000003E-16</v>
      </c>
      <c r="O11" s="92">
        <v>0.02</v>
      </c>
      <c r="P11" s="97">
        <f>O11-N11</f>
        <v>1.9999999999999112E-2</v>
      </c>
      <c r="Q11" s="92">
        <v>0.374</v>
      </c>
      <c r="R11" s="92">
        <v>0</v>
      </c>
      <c r="S11" s="97">
        <f>R11-Q11</f>
        <v>-0.374</v>
      </c>
    </row>
    <row r="12" spans="1:25" x14ac:dyDescent="0.25">
      <c r="C12" s="37"/>
      <c r="K12" s="92"/>
      <c r="M12" s="97"/>
      <c r="P12" s="97"/>
      <c r="S12" s="97"/>
    </row>
    <row r="13" spans="1:25" x14ac:dyDescent="0.25">
      <c r="B13" s="32">
        <v>0</v>
      </c>
      <c r="C13" s="38" t="s">
        <v>71</v>
      </c>
      <c r="D13" s="38">
        <v>1</v>
      </c>
      <c r="E13" s="44">
        <v>66.599999999999994</v>
      </c>
      <c r="F13" s="34">
        <v>181.3</v>
      </c>
      <c r="G13" s="84">
        <v>15.8</v>
      </c>
      <c r="H13" s="98">
        <f>G13</f>
        <v>15.8</v>
      </c>
      <c r="I13" s="31">
        <v>102.6</v>
      </c>
      <c r="J13" s="43">
        <v>566.20000000000005</v>
      </c>
      <c r="K13" s="91">
        <v>0.96799999999999997</v>
      </c>
      <c r="L13" s="92">
        <v>0.996</v>
      </c>
      <c r="M13" s="97">
        <f t="shared" si="0"/>
        <v>2.8000000000000025E-2</v>
      </c>
      <c r="N13" s="92">
        <v>-6.6599999999999998E-16</v>
      </c>
      <c r="O13" s="92">
        <v>0</v>
      </c>
      <c r="P13" s="97">
        <f>O13-N13</f>
        <v>6.6599999999999998E-16</v>
      </c>
      <c r="Q13" s="92">
        <v>3.2000000000000001E-2</v>
      </c>
      <c r="R13" s="92">
        <v>0</v>
      </c>
      <c r="S13" s="97">
        <f>R13-Q13</f>
        <v>-3.2000000000000001E-2</v>
      </c>
    </row>
    <row r="14" spans="1:25" x14ac:dyDescent="0.25">
      <c r="B14" s="32">
        <v>0</v>
      </c>
      <c r="C14" s="38" t="s">
        <v>71</v>
      </c>
      <c r="D14" s="38">
        <v>2</v>
      </c>
      <c r="E14" s="44">
        <v>66.599999999999994</v>
      </c>
      <c r="F14" s="34">
        <v>181.3</v>
      </c>
      <c r="G14" s="84">
        <v>49.7</v>
      </c>
      <c r="H14" s="98">
        <f>G14</f>
        <v>49.7</v>
      </c>
      <c r="I14" s="84">
        <v>66.599999999999994</v>
      </c>
      <c r="J14" s="43">
        <v>878.6</v>
      </c>
      <c r="K14" s="91">
        <v>0.89400000000000002</v>
      </c>
      <c r="L14" s="92">
        <v>0.99099999999999999</v>
      </c>
      <c r="M14" s="97">
        <f t="shared" si="0"/>
        <v>9.6999999999999975E-2</v>
      </c>
      <c r="N14" s="92">
        <v>-4.4400000000000002E-16</v>
      </c>
      <c r="O14" s="92">
        <v>0.01</v>
      </c>
      <c r="P14" s="97">
        <f>O14-N14</f>
        <v>1.0000000000000444E-2</v>
      </c>
      <c r="Q14" s="92">
        <v>0.106</v>
      </c>
      <c r="R14" s="92">
        <v>1E-3</v>
      </c>
      <c r="S14" s="97">
        <f>R14-Q14</f>
        <v>-0.105</v>
      </c>
    </row>
    <row r="15" spans="1:25" x14ac:dyDescent="0.25">
      <c r="B15" s="32">
        <v>1</v>
      </c>
      <c r="C15" s="38" t="s">
        <v>71</v>
      </c>
      <c r="D15" s="38">
        <v>2</v>
      </c>
      <c r="E15" s="44">
        <v>66.599999999999994</v>
      </c>
      <c r="F15" s="34">
        <v>181.3</v>
      </c>
      <c r="G15" s="84">
        <v>15.9</v>
      </c>
      <c r="H15" s="98">
        <f>G15</f>
        <v>15.9</v>
      </c>
      <c r="I15" s="31">
        <v>100.7</v>
      </c>
      <c r="J15" s="43">
        <v>1193.5</v>
      </c>
      <c r="K15" s="91">
        <v>0.93</v>
      </c>
      <c r="L15" s="92">
        <v>0.99399999999999999</v>
      </c>
      <c r="M15" s="41">
        <f t="shared" si="0"/>
        <v>6.3999999999999946E-2</v>
      </c>
      <c r="N15" s="92">
        <v>-2.2200000000000001E-16</v>
      </c>
      <c r="O15" s="92">
        <v>0.01</v>
      </c>
      <c r="P15" s="41">
        <f>O15-N15</f>
        <v>1.0000000000000222E-2</v>
      </c>
      <c r="Q15" s="92">
        <v>7.0000000000000007E-2</v>
      </c>
      <c r="R15" s="92">
        <v>0</v>
      </c>
      <c r="S15" s="41">
        <f>R15-Q15</f>
        <v>-7.0000000000000007E-2</v>
      </c>
    </row>
    <row r="16" spans="1:25" x14ac:dyDescent="0.25">
      <c r="B16" s="32">
        <v>1</v>
      </c>
      <c r="C16" s="38" t="s">
        <v>71</v>
      </c>
      <c r="D16" s="38">
        <v>3</v>
      </c>
      <c r="E16" s="44">
        <v>66.599999999999994</v>
      </c>
      <c r="F16" s="34">
        <v>181.3</v>
      </c>
      <c r="G16" s="84">
        <v>46.2</v>
      </c>
      <c r="H16" s="98">
        <f>G16</f>
        <v>46.2</v>
      </c>
      <c r="I16" s="31">
        <v>66.599999999999994</v>
      </c>
      <c r="J16" s="43">
        <v>1504.1</v>
      </c>
      <c r="K16" s="91">
        <v>0.80500000000000005</v>
      </c>
      <c r="L16" s="92">
        <v>0.98299999999999998</v>
      </c>
      <c r="M16" s="41">
        <f t="shared" si="0"/>
        <v>0.17799999999999994</v>
      </c>
      <c r="N16" s="92">
        <v>1.3299999999999999E-15</v>
      </c>
      <c r="O16" s="92">
        <v>0.01</v>
      </c>
      <c r="P16" s="41">
        <f>O16-N16</f>
        <v>9.9999999999986697E-3</v>
      </c>
      <c r="Q16" s="92">
        <v>0.19500000000000001</v>
      </c>
      <c r="R16" s="92">
        <v>6.0000000000000001E-3</v>
      </c>
      <c r="S16" s="41">
        <f>R16-Q16</f>
        <v>-0.189</v>
      </c>
    </row>
    <row r="17" spans="1:20" x14ac:dyDescent="0.25">
      <c r="B17" s="32">
        <v>2</v>
      </c>
      <c r="C17" s="38" t="s">
        <v>71</v>
      </c>
      <c r="D17" s="38">
        <v>3</v>
      </c>
      <c r="E17" s="44">
        <v>66.599999999999994</v>
      </c>
      <c r="F17" s="34">
        <v>181.3</v>
      </c>
      <c r="G17" s="84">
        <v>74.7</v>
      </c>
      <c r="H17" s="98">
        <f>G17</f>
        <v>74.7</v>
      </c>
      <c r="I17" s="31">
        <v>32.299999999999997</v>
      </c>
      <c r="J17" s="43">
        <v>1812.9</v>
      </c>
      <c r="K17" s="91">
        <v>0.60499999999999998</v>
      </c>
      <c r="L17" s="92">
        <v>0.97799999999999998</v>
      </c>
      <c r="M17" s="41">
        <f t="shared" si="0"/>
        <v>0.373</v>
      </c>
      <c r="N17" s="92">
        <v>1.5499999999999999E-15</v>
      </c>
      <c r="O17" s="92">
        <v>0.02</v>
      </c>
      <c r="P17" s="41">
        <f>O17-N17</f>
        <v>1.999999999999845E-2</v>
      </c>
      <c r="Q17" s="92">
        <v>0.39500000000000002</v>
      </c>
      <c r="R17" s="92">
        <v>0</v>
      </c>
      <c r="S17" s="41">
        <f>R17-Q17</f>
        <v>-0.39500000000000002</v>
      </c>
    </row>
    <row r="18" spans="1:20" x14ac:dyDescent="0.25">
      <c r="H18" s="98"/>
      <c r="K18" s="92"/>
    </row>
    <row r="19" spans="1:20" s="101" customFormat="1" x14ac:dyDescent="0.25">
      <c r="A19" s="32"/>
      <c r="B19" s="32">
        <v>0</v>
      </c>
      <c r="C19" s="119" t="s">
        <v>74</v>
      </c>
      <c r="D19" s="101">
        <v>0</v>
      </c>
      <c r="E19" s="102">
        <v>0</v>
      </c>
      <c r="F19" s="87">
        <v>0</v>
      </c>
      <c r="G19" s="99">
        <v>123.49</v>
      </c>
      <c r="H19" s="103">
        <f>G19</f>
        <v>123.49</v>
      </c>
      <c r="I19" s="85">
        <v>0</v>
      </c>
      <c r="J19" s="104">
        <v>123.49</v>
      </c>
      <c r="K19" s="105">
        <v>0.51500000000000001</v>
      </c>
      <c r="L19" s="106">
        <v>0.96799999999999997</v>
      </c>
      <c r="M19" s="107">
        <f>L19-K19</f>
        <v>0.45299999999999996</v>
      </c>
      <c r="N19" s="106">
        <v>-4.4400000000000002E-16</v>
      </c>
      <c r="O19" s="106">
        <v>0.03</v>
      </c>
      <c r="P19" s="107">
        <f>O19-N19</f>
        <v>3.0000000000000443E-2</v>
      </c>
      <c r="Q19" s="106">
        <v>0.48499999999999999</v>
      </c>
      <c r="R19" s="106">
        <v>0</v>
      </c>
      <c r="S19" s="107">
        <f>R19-Q19</f>
        <v>-0.48499999999999999</v>
      </c>
      <c r="T19" s="125" t="s">
        <v>107</v>
      </c>
    </row>
    <row r="20" spans="1:20" x14ac:dyDescent="0.25">
      <c r="B20" s="32">
        <v>1</v>
      </c>
      <c r="C20" s="119" t="s">
        <v>74</v>
      </c>
      <c r="D20" s="38">
        <v>1</v>
      </c>
      <c r="E20" s="44">
        <v>66.599999999999994</v>
      </c>
      <c r="F20" s="34">
        <v>181.3</v>
      </c>
      <c r="G20" s="84">
        <v>92.2</v>
      </c>
      <c r="H20" s="32">
        <f>G20</f>
        <v>92.2</v>
      </c>
      <c r="I20" s="31">
        <v>0</v>
      </c>
      <c r="J20" s="43">
        <v>854.5</v>
      </c>
      <c r="K20" s="91">
        <v>0.73499999999999999</v>
      </c>
      <c r="L20" s="92">
        <v>0.98</v>
      </c>
      <c r="M20" s="97">
        <f>L20-K20</f>
        <v>0.245</v>
      </c>
      <c r="N20" s="92">
        <v>-4.4400000000000002E-16</v>
      </c>
      <c r="O20" s="92">
        <v>0.02</v>
      </c>
      <c r="P20" s="97">
        <f>O20-N20</f>
        <v>2.0000000000000445E-2</v>
      </c>
      <c r="Q20" s="92">
        <v>0.26500000000000001</v>
      </c>
      <c r="R20" s="92">
        <v>0</v>
      </c>
      <c r="S20" s="97">
        <f>R20-Q20</f>
        <v>-0.26500000000000001</v>
      </c>
      <c r="T20" s="71" t="s">
        <v>73</v>
      </c>
    </row>
    <row r="21" spans="1:20" x14ac:dyDescent="0.25">
      <c r="B21" s="32">
        <v>2</v>
      </c>
      <c r="C21" s="119" t="s">
        <v>74</v>
      </c>
      <c r="D21" s="38">
        <v>2</v>
      </c>
      <c r="E21" s="44">
        <v>66.599999999999994</v>
      </c>
      <c r="F21" s="34">
        <v>181.3</v>
      </c>
      <c r="G21" s="84">
        <v>90.2</v>
      </c>
      <c r="H21" s="32">
        <f>G21</f>
        <v>90.2</v>
      </c>
      <c r="I21" s="31">
        <v>0</v>
      </c>
      <c r="J21" s="43">
        <v>1481.6</v>
      </c>
      <c r="K21" s="91">
        <v>0.44400000000000001</v>
      </c>
      <c r="L21" s="92">
        <v>0.96799999999999997</v>
      </c>
      <c r="M21" s="97">
        <f>L21-K21</f>
        <v>0.52400000000000002</v>
      </c>
      <c r="N21" s="92">
        <v>1.1100000000000001E-15</v>
      </c>
      <c r="O21" s="92">
        <v>3.2000000000000001E-2</v>
      </c>
      <c r="P21" s="97">
        <f>O21-N21</f>
        <v>3.199999999999889E-2</v>
      </c>
      <c r="Q21" s="92">
        <v>0.55600000000000005</v>
      </c>
      <c r="R21" s="92">
        <v>0</v>
      </c>
      <c r="S21" s="97">
        <f>R21-Q21</f>
        <v>-0.55600000000000005</v>
      </c>
      <c r="T21" s="71" t="s">
        <v>73</v>
      </c>
    </row>
    <row r="22" spans="1:20" x14ac:dyDescent="0.25">
      <c r="B22" s="32">
        <v>3</v>
      </c>
      <c r="C22" s="119" t="s">
        <v>74</v>
      </c>
      <c r="D22" s="38">
        <v>3</v>
      </c>
      <c r="E22" s="44">
        <v>66.599999999999994</v>
      </c>
      <c r="F22" s="34">
        <v>181.3</v>
      </c>
      <c r="G22" s="84">
        <v>89.6</v>
      </c>
      <c r="H22" s="32">
        <f>G22</f>
        <v>89.6</v>
      </c>
      <c r="I22" s="31">
        <v>0</v>
      </c>
      <c r="J22" s="43">
        <v>2110.1</v>
      </c>
      <c r="K22" s="91">
        <v>0.188</v>
      </c>
      <c r="L22" s="92">
        <v>0.94399999999999995</v>
      </c>
      <c r="M22" s="97">
        <f>L22-K22</f>
        <v>0.75600000000000001</v>
      </c>
      <c r="N22" s="92">
        <v>8.8800000000000003E-16</v>
      </c>
      <c r="O22" s="92">
        <v>5.5E-2</v>
      </c>
      <c r="P22" s="97">
        <f>O22-N22</f>
        <v>5.4999999999999112E-2</v>
      </c>
      <c r="Q22" s="92">
        <v>0.81200000000000006</v>
      </c>
      <c r="R22" s="92">
        <v>1E-3</v>
      </c>
      <c r="S22" s="97">
        <f>R22-Q22</f>
        <v>-0.81100000000000005</v>
      </c>
    </row>
    <row r="23" spans="1:20" x14ac:dyDescent="0.25">
      <c r="C23" s="124"/>
      <c r="M23" s="97"/>
      <c r="P23" s="97"/>
      <c r="S23" s="97"/>
    </row>
    <row r="24" spans="1:20" x14ac:dyDescent="0.25">
      <c r="A24" s="32" t="s">
        <v>61</v>
      </c>
      <c r="B24" s="32">
        <v>0</v>
      </c>
      <c r="C24" s="32" t="s">
        <v>74</v>
      </c>
      <c r="D24" s="38">
        <v>0</v>
      </c>
      <c r="E24" s="44">
        <v>0</v>
      </c>
      <c r="F24" s="34">
        <v>0</v>
      </c>
      <c r="G24" s="84">
        <v>157.88</v>
      </c>
      <c r="H24" s="98">
        <f>G24</f>
        <v>157.88</v>
      </c>
      <c r="I24" s="31">
        <v>0</v>
      </c>
      <c r="J24" s="43">
        <f>G24</f>
        <v>157.88</v>
      </c>
      <c r="K24" s="91">
        <v>0.96399999999999997</v>
      </c>
      <c r="L24" s="92">
        <v>0.38</v>
      </c>
      <c r="M24" s="97">
        <f>K24-L24</f>
        <v>0.58399999999999996</v>
      </c>
      <c r="N24" s="92">
        <v>0</v>
      </c>
      <c r="O24" s="92">
        <v>1.2E-2</v>
      </c>
      <c r="P24" s="97">
        <f>N24-O24</f>
        <v>-1.2E-2</v>
      </c>
      <c r="Q24" s="92">
        <v>3.5999999999999997E-2</v>
      </c>
      <c r="R24" s="92">
        <v>0.60799999999999998</v>
      </c>
      <c r="S24" s="97">
        <f>Q24-R24</f>
        <v>-0.57199999999999995</v>
      </c>
    </row>
    <row r="25" spans="1:20" ht="22.5" x14ac:dyDescent="0.25">
      <c r="A25" s="32" t="s">
        <v>93</v>
      </c>
      <c r="C25" s="46" t="s">
        <v>94</v>
      </c>
      <c r="E25" s="122" t="s">
        <v>96</v>
      </c>
      <c r="F25" s="34">
        <v>193.08</v>
      </c>
      <c r="G25" s="84">
        <v>157.88</v>
      </c>
      <c r="H25" s="98">
        <f>G25</f>
        <v>157.88</v>
      </c>
      <c r="I25" s="31">
        <v>0</v>
      </c>
      <c r="J25" s="43">
        <v>503</v>
      </c>
      <c r="K25" s="91">
        <v>0.91300000000000003</v>
      </c>
      <c r="L25" s="92">
        <v>0.69099999999999995</v>
      </c>
      <c r="M25" s="97">
        <f>K25-L25</f>
        <v>0.22200000000000009</v>
      </c>
      <c r="N25" s="92">
        <v>3.5999999999999997E-2</v>
      </c>
      <c r="O25" s="92">
        <v>4.2000000000000003E-2</v>
      </c>
      <c r="P25" s="97">
        <f>N25-O25</f>
        <v>-6.0000000000000053E-3</v>
      </c>
      <c r="Q25" s="92">
        <v>5.0999999999999997E-2</v>
      </c>
      <c r="R25" s="92">
        <v>0.26700000000000002</v>
      </c>
      <c r="S25" s="97">
        <f>Q25-R25</f>
        <v>-0.21600000000000003</v>
      </c>
    </row>
    <row r="26" spans="1:20" x14ac:dyDescent="0.25">
      <c r="A26" s="30" t="s">
        <v>88</v>
      </c>
      <c r="C26" s="32" t="s">
        <v>95</v>
      </c>
      <c r="E26" s="122"/>
    </row>
    <row r="27" spans="1:20" x14ac:dyDescent="0.25">
      <c r="A27" s="32" t="s">
        <v>89</v>
      </c>
      <c r="C27" s="32" t="s">
        <v>95</v>
      </c>
      <c r="E27" s="122"/>
    </row>
    <row r="28" spans="1:20" x14ac:dyDescent="0.25">
      <c r="A28" s="30"/>
      <c r="B28" s="30" t="s">
        <v>82</v>
      </c>
      <c r="C28" s="37" t="s">
        <v>83</v>
      </c>
    </row>
    <row r="29" spans="1:20" x14ac:dyDescent="0.25">
      <c r="A29" s="30" t="s">
        <v>80</v>
      </c>
      <c r="B29" s="92">
        <v>3.3696999999999999</v>
      </c>
      <c r="C29" s="118">
        <v>0</v>
      </c>
    </row>
    <row r="30" spans="1:20" x14ac:dyDescent="0.25">
      <c r="A30" s="30" t="s">
        <v>81</v>
      </c>
      <c r="B30" s="108">
        <v>4.3080999999999996</v>
      </c>
      <c r="C30" s="38">
        <v>9.7439999999999992E-3</v>
      </c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7 M19">
    <cfRule type="cellIs" dxfId="7" priority="5" operator="greaterThan">
      <formula>$M$3</formula>
    </cfRule>
  </conditionalFormatting>
  <conditionalFormatting sqref="M16:M18">
    <cfRule type="cellIs" dxfId="6" priority="6" operator="greaterThan">
      <formula>0.45</formula>
    </cfRule>
    <cfRule type="cellIs" priority="7" operator="greaterThan">
      <formula>0.45</formula>
    </cfRule>
  </conditionalFormatting>
  <conditionalFormatting sqref="M20:M23">
    <cfRule type="cellIs" dxfId="5" priority="4" operator="greaterThan">
      <formula>$M$19</formula>
    </cfRule>
  </conditionalFormatting>
  <conditionalFormatting sqref="M24:M25">
    <cfRule type="cellIs" dxfId="4" priority="1" operator="greaterThan">
      <formula>$M$3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C464-6090-4ACA-A164-907377F1E985}">
  <dimension ref="A1:Y33"/>
  <sheetViews>
    <sheetView zoomScale="115" zoomScaleNormal="115" workbookViewId="0">
      <selection activeCell="D14" sqref="D14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42578125" style="32" customWidth="1"/>
    <col min="4" max="4" width="29.2851562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76" t="s">
        <v>1</v>
      </c>
      <c r="B1" s="147" t="s">
        <v>0</v>
      </c>
      <c r="C1" s="177" t="s">
        <v>42</v>
      </c>
      <c r="D1" s="149" t="s">
        <v>11</v>
      </c>
      <c r="E1" s="151" t="s">
        <v>30</v>
      </c>
      <c r="F1" s="153" t="s">
        <v>29</v>
      </c>
      <c r="G1" s="169" t="s">
        <v>32</v>
      </c>
      <c r="H1" s="169" t="s">
        <v>27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76" t="s">
        <v>19</v>
      </c>
    </row>
    <row r="2" spans="1:25" s="36" customFormat="1" ht="16.5" thickBot="1" x14ac:dyDescent="0.3">
      <c r="A2" s="154"/>
      <c r="B2" s="148"/>
      <c r="C2" s="171"/>
      <c r="D2" s="150"/>
      <c r="E2" s="152"/>
      <c r="F2" s="154"/>
      <c r="G2" s="148"/>
      <c r="H2" s="148"/>
      <c r="I2" s="154"/>
      <c r="J2" s="168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54"/>
      <c r="V2" s="154"/>
      <c r="W2" s="154"/>
      <c r="X2" s="154"/>
      <c r="Y2" s="154"/>
    </row>
    <row r="3" spans="1:25" s="30" customFormat="1" x14ac:dyDescent="0.25">
      <c r="B3" s="46">
        <v>532</v>
      </c>
      <c r="C3" s="46" t="s">
        <v>33</v>
      </c>
      <c r="D3" s="45" t="s">
        <v>39</v>
      </c>
      <c r="E3" s="65">
        <v>0</v>
      </c>
      <c r="F3" s="66">
        <v>0</v>
      </c>
      <c r="G3" s="66">
        <v>67.146299999999997</v>
      </c>
      <c r="H3" s="67">
        <f>G3</f>
        <v>67.146299999999997</v>
      </c>
      <c r="I3" s="66">
        <v>0</v>
      </c>
      <c r="J3" s="68">
        <f>H3</f>
        <v>67.146299999999997</v>
      </c>
      <c r="K3" s="74">
        <v>0.08</v>
      </c>
      <c r="L3" s="75">
        <v>0.01</v>
      </c>
      <c r="M3" s="49">
        <f>K3-L3</f>
        <v>7.0000000000000007E-2</v>
      </c>
      <c r="N3" s="75">
        <v>0.62</v>
      </c>
      <c r="O3" s="75">
        <v>0.5</v>
      </c>
      <c r="P3" s="49">
        <f>N3-O3</f>
        <v>0.12</v>
      </c>
      <c r="Q3" s="75">
        <v>0.3</v>
      </c>
      <c r="R3" s="75">
        <v>0.49</v>
      </c>
      <c r="S3" s="49">
        <f>Q3-R3</f>
        <v>-0.19</v>
      </c>
      <c r="T3" s="69" t="s">
        <v>34</v>
      </c>
    </row>
    <row r="4" spans="1:25" ht="16.5" x14ac:dyDescent="0.25">
      <c r="D4" s="45" t="s">
        <v>41</v>
      </c>
      <c r="E4" s="173">
        <v>32.700000000000003</v>
      </c>
      <c r="F4" s="174">
        <v>90.1</v>
      </c>
      <c r="G4" s="175">
        <v>38.5</v>
      </c>
      <c r="H4" s="175"/>
      <c r="I4" s="66">
        <v>18.3</v>
      </c>
      <c r="J4" s="77">
        <v>433.2</v>
      </c>
      <c r="K4" s="78">
        <v>0.34</v>
      </c>
      <c r="L4" s="79">
        <v>0.1</v>
      </c>
      <c r="M4" s="80">
        <f>K4-L4</f>
        <v>0.24000000000000002</v>
      </c>
      <c r="N4" s="79">
        <v>0.66</v>
      </c>
      <c r="O4" s="79">
        <v>0.88</v>
      </c>
      <c r="P4" s="80">
        <f>N4-O4</f>
        <v>-0.21999999999999997</v>
      </c>
      <c r="Q4" s="79">
        <v>0</v>
      </c>
      <c r="R4" s="79">
        <v>0.02</v>
      </c>
      <c r="S4" s="80">
        <f>Q4-R4</f>
        <v>-0.02</v>
      </c>
      <c r="T4" s="34"/>
    </row>
    <row r="5" spans="1:25" ht="18.75" x14ac:dyDescent="0.25">
      <c r="D5" s="38" t="s">
        <v>56</v>
      </c>
      <c r="E5" s="173"/>
      <c r="F5" s="174"/>
      <c r="G5" s="172">
        <v>41.2</v>
      </c>
      <c r="H5" s="172"/>
      <c r="I5" s="58">
        <v>15.1</v>
      </c>
      <c r="J5" s="64">
        <v>588.29999999999995</v>
      </c>
      <c r="K5" s="55">
        <v>0.22</v>
      </c>
      <c r="L5" s="56">
        <v>0.05</v>
      </c>
      <c r="M5" s="41">
        <f t="shared" ref="M5:M20" si="0">K5-L5</f>
        <v>0.16999999999999998</v>
      </c>
      <c r="N5" s="56">
        <v>0.78</v>
      </c>
      <c r="O5" s="56">
        <v>0.89</v>
      </c>
      <c r="P5" s="41">
        <f t="shared" ref="P5:P20" si="1">N5-O5</f>
        <v>-0.10999999999999999</v>
      </c>
      <c r="Q5" s="56">
        <v>0</v>
      </c>
      <c r="R5" s="56">
        <v>0.05</v>
      </c>
      <c r="S5" s="41">
        <f t="shared" ref="S5:S20" si="2">Q5-R5</f>
        <v>-0.05</v>
      </c>
      <c r="T5" s="34"/>
    </row>
    <row r="6" spans="1:25" s="30" customFormat="1" ht="18.75" x14ac:dyDescent="0.25">
      <c r="B6" s="32"/>
      <c r="C6" s="32"/>
      <c r="D6" s="38" t="s">
        <v>43</v>
      </c>
      <c r="E6" s="173"/>
      <c r="F6" s="174"/>
      <c r="G6" s="172">
        <v>24.3</v>
      </c>
      <c r="H6" s="172"/>
      <c r="I6" s="58">
        <v>30.6</v>
      </c>
      <c r="J6" s="64">
        <v>742.3</v>
      </c>
      <c r="K6" s="40">
        <v>0.34</v>
      </c>
      <c r="L6" s="33">
        <v>0.14000000000000001</v>
      </c>
      <c r="M6" s="41">
        <f t="shared" si="0"/>
        <v>0.2</v>
      </c>
      <c r="N6" s="33">
        <v>0.66</v>
      </c>
      <c r="O6" s="33">
        <v>0.78</v>
      </c>
      <c r="P6" s="41">
        <f t="shared" si="1"/>
        <v>-0.12</v>
      </c>
      <c r="Q6" s="33">
        <v>0</v>
      </c>
      <c r="R6" s="33">
        <v>0.08</v>
      </c>
      <c r="S6" s="41">
        <f t="shared" si="2"/>
        <v>-0.08</v>
      </c>
    </row>
    <row r="7" spans="1:25" ht="18.75" x14ac:dyDescent="0.25">
      <c r="D7" s="38" t="s">
        <v>57</v>
      </c>
      <c r="E7" s="173"/>
      <c r="F7" s="174"/>
      <c r="G7" s="172">
        <v>42.6</v>
      </c>
      <c r="H7" s="172"/>
      <c r="I7" s="58">
        <v>13.3</v>
      </c>
      <c r="J7" s="64">
        <v>743.5</v>
      </c>
      <c r="K7" s="55">
        <v>0.13</v>
      </c>
      <c r="L7" s="56">
        <v>0.03</v>
      </c>
      <c r="M7" s="41">
        <f t="shared" si="0"/>
        <v>0.1</v>
      </c>
      <c r="N7" s="56">
        <v>0.87</v>
      </c>
      <c r="O7" s="56">
        <v>0.89</v>
      </c>
      <c r="P7" s="41">
        <f t="shared" si="1"/>
        <v>-2.0000000000000018E-2</v>
      </c>
      <c r="Q7" s="56">
        <v>0</v>
      </c>
      <c r="R7" s="56">
        <v>0.08</v>
      </c>
      <c r="S7" s="41">
        <f t="shared" si="2"/>
        <v>-0.08</v>
      </c>
    </row>
    <row r="8" spans="1:25" ht="18.75" x14ac:dyDescent="0.25">
      <c r="B8" s="30"/>
      <c r="C8" s="30"/>
      <c r="D8" s="38" t="s">
        <v>58</v>
      </c>
      <c r="E8" s="173"/>
      <c r="F8" s="174"/>
      <c r="G8" s="172">
        <v>31.9</v>
      </c>
      <c r="H8" s="172"/>
      <c r="I8" s="58">
        <v>23.7</v>
      </c>
      <c r="J8" s="64">
        <v>898.6</v>
      </c>
      <c r="K8" s="40">
        <v>0.2</v>
      </c>
      <c r="L8" s="33">
        <v>0.06</v>
      </c>
      <c r="M8" s="41">
        <f t="shared" si="0"/>
        <v>0.14000000000000001</v>
      </c>
      <c r="N8" s="33">
        <v>0.8</v>
      </c>
      <c r="O8" s="33">
        <v>0.89</v>
      </c>
      <c r="P8" s="41">
        <f t="shared" si="1"/>
        <v>-8.9999999999999969E-2</v>
      </c>
      <c r="Q8" s="33">
        <v>0</v>
      </c>
      <c r="R8" s="33">
        <v>0.05</v>
      </c>
      <c r="S8" s="41">
        <f t="shared" si="2"/>
        <v>-0.05</v>
      </c>
    </row>
    <row r="9" spans="1:25" ht="16.5" x14ac:dyDescent="0.25">
      <c r="D9" s="45" t="s">
        <v>40</v>
      </c>
      <c r="E9" s="173"/>
      <c r="F9" s="174"/>
      <c r="G9" s="66">
        <v>2.7</v>
      </c>
      <c r="H9" s="76">
        <v>5.4</v>
      </c>
      <c r="I9" s="66">
        <v>54.5</v>
      </c>
      <c r="J9" s="68">
        <v>591.9</v>
      </c>
      <c r="K9" s="47">
        <v>0.5</v>
      </c>
      <c r="L9" s="48">
        <v>0.24</v>
      </c>
      <c r="M9" s="49">
        <f t="shared" si="0"/>
        <v>0.26</v>
      </c>
      <c r="N9" s="48">
        <v>0.5</v>
      </c>
      <c r="O9" s="48">
        <v>0.69</v>
      </c>
      <c r="P9" s="49">
        <f t="shared" si="1"/>
        <v>-0.18999999999999995</v>
      </c>
      <c r="Q9" s="48">
        <v>0</v>
      </c>
      <c r="R9" s="48">
        <v>0.06</v>
      </c>
      <c r="S9" s="49">
        <f t="shared" si="2"/>
        <v>-0.06</v>
      </c>
    </row>
    <row r="10" spans="1:25" s="30" customFormat="1" x14ac:dyDescent="0.25">
      <c r="C10" s="32"/>
      <c r="D10" s="38" t="s">
        <v>59</v>
      </c>
      <c r="E10" s="173"/>
      <c r="F10" s="174"/>
      <c r="G10" s="58">
        <v>4.2</v>
      </c>
      <c r="H10" s="63">
        <v>8.5</v>
      </c>
      <c r="I10" s="58">
        <v>49.3</v>
      </c>
      <c r="J10" s="64">
        <v>745.2</v>
      </c>
      <c r="K10" s="40">
        <v>0.26</v>
      </c>
      <c r="L10" s="33">
        <v>0.09</v>
      </c>
      <c r="M10" s="41">
        <f t="shared" si="0"/>
        <v>0.17</v>
      </c>
      <c r="N10" s="33">
        <v>0.74</v>
      </c>
      <c r="O10" s="33">
        <v>0.8</v>
      </c>
      <c r="P10" s="41">
        <f t="shared" si="1"/>
        <v>-6.0000000000000053E-2</v>
      </c>
      <c r="Q10" s="33">
        <v>0</v>
      </c>
      <c r="R10" s="33">
        <v>0.11</v>
      </c>
      <c r="S10" s="41">
        <f t="shared" si="2"/>
        <v>-0.11</v>
      </c>
      <c r="T10" s="31"/>
    </row>
    <row r="11" spans="1:25" x14ac:dyDescent="0.25">
      <c r="D11" s="38" t="s">
        <v>60</v>
      </c>
      <c r="E11" s="173"/>
      <c r="F11" s="174"/>
      <c r="G11" s="58">
        <v>1.3</v>
      </c>
      <c r="H11" s="63">
        <v>2.7</v>
      </c>
      <c r="I11" s="58">
        <v>59.7</v>
      </c>
      <c r="J11" s="64">
        <v>905.4</v>
      </c>
      <c r="K11" s="40">
        <v>0.53</v>
      </c>
      <c r="L11" s="33">
        <v>0.28000000000000003</v>
      </c>
      <c r="M11" s="41">
        <f t="shared" si="0"/>
        <v>0.25</v>
      </c>
      <c r="N11" s="33">
        <v>0.47</v>
      </c>
      <c r="O11" s="33">
        <v>0.66</v>
      </c>
      <c r="P11" s="41">
        <f t="shared" si="1"/>
        <v>-0.19000000000000006</v>
      </c>
      <c r="Q11" s="33">
        <v>0</v>
      </c>
      <c r="R11" s="33">
        <v>0.06</v>
      </c>
      <c r="S11" s="41">
        <f t="shared" si="2"/>
        <v>-0.06</v>
      </c>
    </row>
    <row r="12" spans="1:25" x14ac:dyDescent="0.25">
      <c r="E12" s="61"/>
      <c r="F12" s="62"/>
      <c r="G12" s="58"/>
      <c r="H12" s="63"/>
      <c r="I12" s="58"/>
      <c r="J12" s="64"/>
      <c r="T12" s="34"/>
    </row>
    <row r="13" spans="1:25" s="30" customFormat="1" x14ac:dyDescent="0.25">
      <c r="B13" s="46">
        <v>1064</v>
      </c>
      <c r="C13" s="46" t="s">
        <v>33</v>
      </c>
      <c r="D13" s="45" t="s">
        <v>39</v>
      </c>
      <c r="E13" s="65">
        <v>0</v>
      </c>
      <c r="F13" s="66">
        <v>0</v>
      </c>
      <c r="G13" s="66">
        <v>157.8776</v>
      </c>
      <c r="H13" s="67">
        <f>G13</f>
        <v>157.8776</v>
      </c>
      <c r="I13" s="67">
        <v>0</v>
      </c>
      <c r="J13" s="68">
        <f>H13</f>
        <v>157.8776</v>
      </c>
      <c r="K13" s="47">
        <v>1</v>
      </c>
      <c r="L13" s="48">
        <v>0.28999999999999998</v>
      </c>
      <c r="M13" s="49">
        <f t="shared" si="0"/>
        <v>0.71</v>
      </c>
      <c r="N13" s="48">
        <v>0</v>
      </c>
      <c r="O13" s="48">
        <v>0.01</v>
      </c>
      <c r="P13" s="49">
        <f t="shared" si="1"/>
        <v>-0.01</v>
      </c>
      <c r="Q13" s="48">
        <v>0</v>
      </c>
      <c r="R13" s="48">
        <v>0.7</v>
      </c>
      <c r="S13" s="49">
        <f t="shared" si="2"/>
        <v>-0.7</v>
      </c>
    </row>
    <row r="14" spans="1:25" ht="16.5" x14ac:dyDescent="0.25">
      <c r="D14" s="37" t="s">
        <v>41</v>
      </c>
      <c r="E14" s="173">
        <v>66.599999999999994</v>
      </c>
      <c r="F14" s="174">
        <v>181.3</v>
      </c>
      <c r="G14" s="172">
        <v>107.3</v>
      </c>
      <c r="H14" s="172"/>
      <c r="I14" s="58">
        <v>0</v>
      </c>
      <c r="J14" s="64">
        <v>869.6</v>
      </c>
      <c r="K14" s="40">
        <v>1</v>
      </c>
      <c r="L14" s="33">
        <v>0.54</v>
      </c>
      <c r="M14" s="41">
        <f t="shared" si="0"/>
        <v>0.45999999999999996</v>
      </c>
      <c r="N14" s="33">
        <v>0</v>
      </c>
      <c r="O14" s="33">
        <v>0.02</v>
      </c>
      <c r="P14" s="41">
        <f t="shared" si="1"/>
        <v>-0.02</v>
      </c>
      <c r="Q14" s="33">
        <v>0</v>
      </c>
      <c r="R14" s="33">
        <v>0.44</v>
      </c>
      <c r="S14" s="41">
        <f t="shared" si="2"/>
        <v>-0.44</v>
      </c>
    </row>
    <row r="15" spans="1:25" ht="18.75" x14ac:dyDescent="0.25">
      <c r="D15" s="81" t="s">
        <v>44</v>
      </c>
      <c r="E15" s="173"/>
      <c r="F15" s="174"/>
      <c r="G15" s="175">
        <v>68.7</v>
      </c>
      <c r="H15" s="175"/>
      <c r="I15" s="66">
        <v>51.9</v>
      </c>
      <c r="J15" s="77">
        <v>1197.4000000000001</v>
      </c>
      <c r="K15" s="78">
        <v>1</v>
      </c>
      <c r="L15" s="79">
        <v>0.84</v>
      </c>
      <c r="M15" s="80">
        <f t="shared" si="0"/>
        <v>0.16000000000000003</v>
      </c>
      <c r="N15" s="79">
        <v>0</v>
      </c>
      <c r="O15" s="79">
        <v>0.01</v>
      </c>
      <c r="P15" s="80">
        <f t="shared" si="1"/>
        <v>-0.01</v>
      </c>
      <c r="Q15" s="79">
        <v>0</v>
      </c>
      <c r="R15" s="79">
        <v>0.15</v>
      </c>
      <c r="S15" s="80">
        <f t="shared" si="2"/>
        <v>-0.15</v>
      </c>
      <c r="T15" s="34"/>
    </row>
    <row r="16" spans="1:25" ht="18.75" x14ac:dyDescent="0.25">
      <c r="D16" s="81" t="s">
        <v>43</v>
      </c>
      <c r="E16" s="173"/>
      <c r="F16" s="174"/>
      <c r="G16" s="175">
        <v>105</v>
      </c>
      <c r="H16" s="175"/>
      <c r="I16" s="66">
        <v>0</v>
      </c>
      <c r="J16" s="77">
        <v>1496.4</v>
      </c>
      <c r="K16" s="78">
        <v>1</v>
      </c>
      <c r="L16" s="79">
        <v>0.26</v>
      </c>
      <c r="M16" s="80">
        <f t="shared" si="0"/>
        <v>0.74</v>
      </c>
      <c r="N16" s="79">
        <v>0</v>
      </c>
      <c r="O16" s="79">
        <v>0.01</v>
      </c>
      <c r="P16" s="80">
        <f t="shared" si="1"/>
        <v>-0.01</v>
      </c>
      <c r="Q16" s="79">
        <v>0</v>
      </c>
      <c r="R16" s="79">
        <v>0.72</v>
      </c>
      <c r="S16" s="80">
        <f t="shared" si="2"/>
        <v>-0.72</v>
      </c>
      <c r="T16" s="34"/>
    </row>
    <row r="17" spans="2:20" ht="18.75" x14ac:dyDescent="0.25">
      <c r="D17" s="38" t="s">
        <v>45</v>
      </c>
      <c r="E17" s="173"/>
      <c r="F17" s="174"/>
      <c r="G17" s="172">
        <v>65.599999999999994</v>
      </c>
      <c r="H17" s="172"/>
      <c r="I17" s="58">
        <v>53.5</v>
      </c>
      <c r="J17" s="64">
        <v>1825</v>
      </c>
      <c r="K17" s="40">
        <v>1</v>
      </c>
      <c r="L17" s="33">
        <v>0.63</v>
      </c>
      <c r="M17" s="41">
        <f t="shared" si="0"/>
        <v>0.37</v>
      </c>
      <c r="N17" s="33">
        <v>0</v>
      </c>
      <c r="O17" s="33">
        <v>0.01</v>
      </c>
      <c r="P17" s="41">
        <f t="shared" si="1"/>
        <v>-0.01</v>
      </c>
      <c r="Q17" s="33">
        <v>0</v>
      </c>
      <c r="R17" s="33">
        <v>0.36</v>
      </c>
      <c r="S17" s="41">
        <f t="shared" si="2"/>
        <v>-0.36</v>
      </c>
      <c r="T17" s="34"/>
    </row>
    <row r="18" spans="2:20" ht="16.5" x14ac:dyDescent="0.25">
      <c r="D18" s="37" t="s">
        <v>52</v>
      </c>
      <c r="E18" s="173"/>
      <c r="F18" s="174"/>
      <c r="G18" s="58">
        <v>42.6</v>
      </c>
      <c r="H18" s="63">
        <v>85.1</v>
      </c>
      <c r="I18" s="58">
        <v>21.6</v>
      </c>
      <c r="J18" s="64">
        <v>869</v>
      </c>
      <c r="K18" s="33">
        <v>1</v>
      </c>
      <c r="L18" s="33">
        <v>0.53</v>
      </c>
      <c r="M18" s="41">
        <f t="shared" si="0"/>
        <v>0.47</v>
      </c>
      <c r="N18" s="33">
        <v>0</v>
      </c>
      <c r="O18" s="33">
        <v>0.02</v>
      </c>
      <c r="P18" s="41">
        <f t="shared" si="1"/>
        <v>-0.02</v>
      </c>
      <c r="Q18" s="33">
        <v>0</v>
      </c>
      <c r="R18" s="33">
        <v>0.46</v>
      </c>
      <c r="S18" s="41">
        <f t="shared" si="2"/>
        <v>-0.46</v>
      </c>
      <c r="T18" s="34"/>
    </row>
    <row r="19" spans="2:20" ht="18.75" x14ac:dyDescent="0.25">
      <c r="D19" s="38" t="s">
        <v>64</v>
      </c>
      <c r="E19" s="173"/>
      <c r="F19" s="174"/>
      <c r="G19" s="58">
        <v>47.7</v>
      </c>
      <c r="H19" s="63">
        <v>95.5</v>
      </c>
      <c r="I19" s="58">
        <v>9.5</v>
      </c>
      <c r="J19" s="64">
        <v>1496.3</v>
      </c>
      <c r="K19" s="40">
        <v>1</v>
      </c>
      <c r="L19" s="33">
        <v>0.26</v>
      </c>
      <c r="M19" s="41">
        <f t="shared" si="0"/>
        <v>0.74</v>
      </c>
      <c r="N19" s="33">
        <v>0</v>
      </c>
      <c r="O19" s="33">
        <v>0.01</v>
      </c>
      <c r="P19" s="41">
        <f t="shared" si="1"/>
        <v>-0.01</v>
      </c>
      <c r="Q19" s="33">
        <v>0</v>
      </c>
      <c r="R19" s="33">
        <v>0.73</v>
      </c>
      <c r="S19" s="41">
        <f t="shared" si="2"/>
        <v>-0.73</v>
      </c>
      <c r="T19" s="34"/>
    </row>
    <row r="20" spans="2:20" ht="18.75" x14ac:dyDescent="0.25">
      <c r="D20" s="38" t="s">
        <v>65</v>
      </c>
      <c r="E20" s="173"/>
      <c r="F20" s="174"/>
      <c r="G20" s="58">
        <v>48.7</v>
      </c>
      <c r="H20" s="63">
        <v>97.4</v>
      </c>
      <c r="I20" s="73">
        <v>7</v>
      </c>
      <c r="J20" s="64">
        <v>2124.8000000000002</v>
      </c>
      <c r="K20" s="40">
        <v>1</v>
      </c>
      <c r="L20" s="33">
        <v>0.09</v>
      </c>
      <c r="M20" s="41">
        <f t="shared" si="0"/>
        <v>0.91</v>
      </c>
      <c r="N20" s="33">
        <v>0</v>
      </c>
      <c r="O20" s="33">
        <v>0.01</v>
      </c>
      <c r="P20" s="41">
        <f t="shared" si="1"/>
        <v>-0.01</v>
      </c>
      <c r="Q20" s="33">
        <v>0</v>
      </c>
      <c r="R20" s="33">
        <v>0.9</v>
      </c>
      <c r="S20" s="41">
        <f t="shared" si="2"/>
        <v>-0.9</v>
      </c>
      <c r="T20" s="34"/>
    </row>
    <row r="22" spans="2:20" x14ac:dyDescent="0.25">
      <c r="B22" s="30"/>
      <c r="C22" s="30"/>
      <c r="D22" s="37"/>
      <c r="E22" s="57"/>
      <c r="F22" s="58"/>
      <c r="G22" s="58"/>
      <c r="H22" s="59"/>
      <c r="I22" s="58"/>
      <c r="J22" s="60"/>
      <c r="K22" s="70"/>
      <c r="L22" s="50"/>
      <c r="N22" s="50"/>
      <c r="O22" s="50"/>
      <c r="Q22" s="50"/>
      <c r="R22" s="50"/>
    </row>
    <row r="23" spans="2:20" x14ac:dyDescent="0.25">
      <c r="D23" s="37"/>
      <c r="E23" s="61"/>
      <c r="F23" s="62"/>
      <c r="G23" s="58"/>
      <c r="H23" s="63"/>
      <c r="I23" s="58"/>
      <c r="J23" s="64"/>
    </row>
    <row r="24" spans="2:20" x14ac:dyDescent="0.25">
      <c r="B24" s="30"/>
      <c r="E24" s="61"/>
      <c r="F24" s="62"/>
      <c r="G24" s="58"/>
      <c r="H24" s="63"/>
      <c r="I24" s="58"/>
      <c r="J24" s="64"/>
    </row>
    <row r="25" spans="2:20" x14ac:dyDescent="0.25">
      <c r="E25" s="61"/>
      <c r="F25" s="62"/>
      <c r="G25" s="58"/>
      <c r="H25" s="63"/>
      <c r="I25" s="58"/>
      <c r="J25" s="64"/>
    </row>
    <row r="26" spans="2:20" x14ac:dyDescent="0.25">
      <c r="E26" s="61"/>
      <c r="F26" s="62"/>
      <c r="G26" s="58"/>
      <c r="H26" s="63"/>
      <c r="I26" s="58"/>
      <c r="J26" s="64"/>
    </row>
    <row r="27" spans="2:20" x14ac:dyDescent="0.25">
      <c r="E27" s="61"/>
      <c r="F27" s="62"/>
      <c r="G27" s="58"/>
      <c r="H27" s="63"/>
      <c r="I27" s="59"/>
      <c r="J27" s="64"/>
    </row>
    <row r="28" spans="2:20" x14ac:dyDescent="0.25">
      <c r="E28" s="61"/>
      <c r="F28" s="62"/>
      <c r="G28" s="58"/>
      <c r="H28" s="63"/>
      <c r="I28" s="58"/>
      <c r="J28" s="64"/>
    </row>
    <row r="29" spans="2:20" x14ac:dyDescent="0.25">
      <c r="D29" s="37"/>
      <c r="E29" s="61"/>
      <c r="F29" s="62"/>
      <c r="G29" s="58"/>
      <c r="H29" s="63"/>
      <c r="I29" s="58"/>
      <c r="J29" s="64"/>
    </row>
    <row r="30" spans="2:20" x14ac:dyDescent="0.25">
      <c r="E30" s="61"/>
      <c r="F30" s="62"/>
      <c r="G30" s="58"/>
      <c r="H30" s="63"/>
      <c r="I30" s="58"/>
      <c r="J30" s="64"/>
    </row>
    <row r="31" spans="2:20" x14ac:dyDescent="0.25">
      <c r="E31" s="61"/>
      <c r="F31" s="62"/>
      <c r="G31" s="58"/>
      <c r="H31" s="63"/>
      <c r="I31" s="58"/>
      <c r="J31" s="64"/>
    </row>
    <row r="32" spans="2:20" x14ac:dyDescent="0.25">
      <c r="E32" s="61"/>
      <c r="F32" s="62"/>
      <c r="G32" s="58"/>
      <c r="H32" s="63"/>
      <c r="I32" s="58"/>
      <c r="J32" s="64"/>
      <c r="K32" s="33"/>
    </row>
    <row r="33" spans="5:10" x14ac:dyDescent="0.25">
      <c r="E33" s="61"/>
      <c r="F33" s="62"/>
      <c r="G33" s="58"/>
      <c r="H33" s="63"/>
      <c r="I33" s="58"/>
      <c r="J33" s="64"/>
    </row>
  </sheetData>
  <mergeCells count="29">
    <mergeCell ref="E14:E20"/>
    <mergeCell ref="F14:F20"/>
    <mergeCell ref="G17:H17"/>
    <mergeCell ref="G16:H16"/>
    <mergeCell ref="G15:H15"/>
    <mergeCell ref="G14:H14"/>
    <mergeCell ref="A1:A2"/>
    <mergeCell ref="B1:B2"/>
    <mergeCell ref="C1:C2"/>
    <mergeCell ref="D1:D2"/>
    <mergeCell ref="K1:M1"/>
    <mergeCell ref="E1:E2"/>
    <mergeCell ref="F1:F2"/>
    <mergeCell ref="G1:G2"/>
    <mergeCell ref="H1:H2"/>
    <mergeCell ref="I1:I2"/>
    <mergeCell ref="J1:J2"/>
    <mergeCell ref="T1:T2"/>
    <mergeCell ref="V2:W2"/>
    <mergeCell ref="X2:Y2"/>
    <mergeCell ref="Q1:S1"/>
    <mergeCell ref="N1:P1"/>
    <mergeCell ref="G8:H8"/>
    <mergeCell ref="G7:H7"/>
    <mergeCell ref="G6:H6"/>
    <mergeCell ref="E4:E11"/>
    <mergeCell ref="F4:F11"/>
    <mergeCell ref="G4:H4"/>
    <mergeCell ref="G5:H5"/>
  </mergeCells>
  <conditionalFormatting sqref="M14:M20">
    <cfRule type="cellIs" dxfId="3" priority="1" operator="greaterThan">
      <formula>$M$13</formula>
    </cfRule>
  </conditionalFormatting>
  <conditionalFormatting sqref="M29:M33">
    <cfRule type="cellIs" dxfId="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E129-7102-4E9D-8A3D-9B26EFEE1948}">
  <dimension ref="A1:Y21"/>
  <sheetViews>
    <sheetView topLeftCell="B1" zoomScale="130" zoomScaleNormal="130" workbookViewId="0">
      <selection activeCell="D27" sqref="D27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7109375" style="32" customWidth="1"/>
    <col min="4" max="4" width="30.710937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8554687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76" t="s">
        <v>1</v>
      </c>
      <c r="B1" s="147" t="s">
        <v>0</v>
      </c>
      <c r="C1" s="177" t="s">
        <v>42</v>
      </c>
      <c r="D1" s="149" t="s">
        <v>11</v>
      </c>
      <c r="E1" s="151" t="s">
        <v>30</v>
      </c>
      <c r="F1" s="153" t="s">
        <v>29</v>
      </c>
      <c r="G1" s="169" t="s">
        <v>32</v>
      </c>
      <c r="H1" s="169" t="s">
        <v>27</v>
      </c>
      <c r="I1" s="153" t="s">
        <v>16</v>
      </c>
      <c r="J1" s="167" t="s">
        <v>28</v>
      </c>
      <c r="K1" s="151" t="s">
        <v>2</v>
      </c>
      <c r="L1" s="153"/>
      <c r="M1" s="161"/>
      <c r="N1" s="151" t="s">
        <v>4</v>
      </c>
      <c r="O1" s="153"/>
      <c r="P1" s="161"/>
      <c r="Q1" s="151" t="s">
        <v>3</v>
      </c>
      <c r="R1" s="153"/>
      <c r="S1" s="161"/>
      <c r="T1" s="181" t="s">
        <v>19</v>
      </c>
    </row>
    <row r="2" spans="1:25" s="36" customFormat="1" ht="16.5" thickBot="1" x14ac:dyDescent="0.3">
      <c r="A2" s="154"/>
      <c r="B2" s="148"/>
      <c r="C2" s="171"/>
      <c r="D2" s="150"/>
      <c r="E2" s="152"/>
      <c r="F2" s="154"/>
      <c r="G2" s="148"/>
      <c r="H2" s="148"/>
      <c r="I2" s="154"/>
      <c r="J2" s="168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64"/>
      <c r="V2" s="154"/>
      <c r="W2" s="154"/>
      <c r="X2" s="154"/>
      <c r="Y2" s="154"/>
    </row>
    <row r="3" spans="1:25" s="30" customFormat="1" x14ac:dyDescent="0.25">
      <c r="B3" s="30">
        <v>532</v>
      </c>
      <c r="C3" s="30" t="s">
        <v>35</v>
      </c>
      <c r="D3" s="37" t="s">
        <v>39</v>
      </c>
      <c r="E3" s="178">
        <v>0</v>
      </c>
      <c r="F3" s="180">
        <v>0</v>
      </c>
      <c r="G3" s="58">
        <v>55.56</v>
      </c>
      <c r="H3" s="59">
        <f>G3</f>
        <v>55.56</v>
      </c>
      <c r="I3" s="58">
        <v>0</v>
      </c>
      <c r="J3" s="60">
        <f>H3</f>
        <v>55.56</v>
      </c>
      <c r="K3" s="53">
        <v>0.11</v>
      </c>
      <c r="L3" s="54">
        <v>0.02</v>
      </c>
      <c r="M3" s="42">
        <f>L3-K3</f>
        <v>-0.09</v>
      </c>
      <c r="N3" s="54">
        <v>0.53</v>
      </c>
      <c r="O3" s="54">
        <v>0.51</v>
      </c>
      <c r="P3" s="42">
        <f>O3-N3</f>
        <v>-2.0000000000000018E-2</v>
      </c>
      <c r="Q3" s="54">
        <v>0.37</v>
      </c>
      <c r="R3" s="54">
        <v>0.47</v>
      </c>
      <c r="S3" s="42">
        <f>R3-Q3</f>
        <v>9.9999999999999978E-2</v>
      </c>
      <c r="T3" s="69" t="s">
        <v>61</v>
      </c>
    </row>
    <row r="4" spans="1:25" x14ac:dyDescent="0.25">
      <c r="E4" s="179"/>
      <c r="F4" s="172"/>
      <c r="G4" s="58">
        <v>35.6</v>
      </c>
      <c r="H4" s="63">
        <f>G4</f>
        <v>35.6</v>
      </c>
      <c r="I4" s="58">
        <v>0</v>
      </c>
      <c r="J4" s="64">
        <f>H4</f>
        <v>35.6</v>
      </c>
      <c r="K4" s="55">
        <v>0.12</v>
      </c>
      <c r="L4" s="56">
        <v>0.04</v>
      </c>
      <c r="M4" s="41">
        <f>L4-K4</f>
        <v>-7.9999999999999988E-2</v>
      </c>
      <c r="N4" s="56">
        <v>0.3</v>
      </c>
      <c r="O4" s="56">
        <v>0.38</v>
      </c>
      <c r="P4" s="41">
        <f>O4-N4</f>
        <v>8.0000000000000016E-2</v>
      </c>
      <c r="Q4" s="56">
        <v>0.57999999999999996</v>
      </c>
      <c r="R4" s="56">
        <v>0.57999999999999996</v>
      </c>
      <c r="S4" s="41">
        <f>R4-Q4</f>
        <v>0</v>
      </c>
      <c r="T4" s="71" t="s">
        <v>62</v>
      </c>
    </row>
    <row r="5" spans="1:25" ht="16.5" x14ac:dyDescent="0.25">
      <c r="D5" s="37" t="s">
        <v>31</v>
      </c>
      <c r="E5" s="173">
        <v>32.700000000000003</v>
      </c>
      <c r="F5" s="174">
        <v>90.1</v>
      </c>
      <c r="G5" s="58">
        <v>1</v>
      </c>
      <c r="H5" s="63">
        <v>2.1</v>
      </c>
      <c r="I5" s="58">
        <v>60.4</v>
      </c>
      <c r="J5" s="64">
        <v>594.5</v>
      </c>
      <c r="K5" s="40">
        <v>0.7</v>
      </c>
      <c r="L5" s="33">
        <v>0.5</v>
      </c>
      <c r="M5" s="41">
        <f>L5-K5</f>
        <v>-0.19999999999999996</v>
      </c>
      <c r="N5" s="33">
        <v>0.27</v>
      </c>
      <c r="O5" s="33">
        <v>0.5</v>
      </c>
      <c r="P5" s="41">
        <f>O5-N5</f>
        <v>0.22999999999999998</v>
      </c>
      <c r="Q5" s="33">
        <v>0.03</v>
      </c>
      <c r="R5" s="33">
        <v>0</v>
      </c>
      <c r="S5" s="41">
        <f>R5-Q5</f>
        <v>-0.03</v>
      </c>
      <c r="T5" s="71"/>
    </row>
    <row r="6" spans="1:25" s="30" customFormat="1" ht="16.5" x14ac:dyDescent="0.25">
      <c r="B6" s="32"/>
      <c r="C6" s="32"/>
      <c r="D6" s="37" t="s">
        <v>38</v>
      </c>
      <c r="E6" s="173"/>
      <c r="F6" s="174"/>
      <c r="G6" s="58">
        <v>35.6</v>
      </c>
      <c r="H6" s="63">
        <f>G6</f>
        <v>35.6</v>
      </c>
      <c r="I6" s="58">
        <v>20.8</v>
      </c>
      <c r="J6" s="64">
        <v>588.29999999999995</v>
      </c>
      <c r="K6" s="55">
        <v>0.27</v>
      </c>
      <c r="L6" s="56">
        <v>0.08</v>
      </c>
      <c r="M6" s="41">
        <f t="shared" ref="M6:M14" si="0">L6-K6</f>
        <v>-0.19</v>
      </c>
      <c r="N6" s="56">
        <v>0.71</v>
      </c>
      <c r="O6" s="56">
        <v>0.92</v>
      </c>
      <c r="P6" s="41">
        <f>O6-N6</f>
        <v>0.21000000000000008</v>
      </c>
      <c r="Q6" s="56">
        <v>0.03</v>
      </c>
      <c r="R6" s="56">
        <v>0</v>
      </c>
      <c r="S6" s="41">
        <f>R6-Q6</f>
        <v>-0.03</v>
      </c>
      <c r="T6" s="35" t="s">
        <v>62</v>
      </c>
    </row>
    <row r="7" spans="1:25" x14ac:dyDescent="0.25">
      <c r="E7" s="61"/>
      <c r="F7" s="62"/>
      <c r="G7" s="58"/>
      <c r="H7" s="63"/>
      <c r="I7" s="58"/>
      <c r="J7" s="64"/>
    </row>
    <row r="8" spans="1:25" x14ac:dyDescent="0.25">
      <c r="B8" s="46">
        <v>1064</v>
      </c>
      <c r="C8" s="46" t="s">
        <v>35</v>
      </c>
      <c r="D8" s="45" t="s">
        <v>39</v>
      </c>
      <c r="E8" s="65">
        <v>0</v>
      </c>
      <c r="F8" s="66">
        <v>0</v>
      </c>
      <c r="G8" s="66">
        <v>123.49</v>
      </c>
      <c r="H8" s="67">
        <f>G8</f>
        <v>123.49</v>
      </c>
      <c r="I8" s="66">
        <v>0</v>
      </c>
      <c r="J8" s="68">
        <v>123.49</v>
      </c>
      <c r="K8" s="47">
        <v>0.52</v>
      </c>
      <c r="L8" s="48">
        <v>0.97</v>
      </c>
      <c r="M8" s="49">
        <f t="shared" si="0"/>
        <v>0.44999999999999996</v>
      </c>
      <c r="N8" s="48">
        <v>0</v>
      </c>
      <c r="O8" s="48">
        <v>0.03</v>
      </c>
      <c r="P8" s="49">
        <f t="shared" ref="P8:P19" si="1">O8-N8</f>
        <v>0.03</v>
      </c>
      <c r="Q8" s="48">
        <v>0.48</v>
      </c>
      <c r="R8" s="48">
        <v>0</v>
      </c>
      <c r="S8" s="49">
        <f t="shared" ref="S8:S19" si="2">R8-Q8</f>
        <v>-0.48</v>
      </c>
      <c r="T8" s="35" t="s">
        <v>61</v>
      </c>
    </row>
    <row r="9" spans="1:25" ht="16.5" x14ac:dyDescent="0.25">
      <c r="D9" s="37" t="s">
        <v>41</v>
      </c>
      <c r="E9" s="173">
        <v>66.599999999999994</v>
      </c>
      <c r="F9" s="174">
        <v>181.3</v>
      </c>
      <c r="G9" s="58">
        <v>91.9</v>
      </c>
      <c r="H9" s="63">
        <f>G9</f>
        <v>91.9</v>
      </c>
      <c r="I9" s="58">
        <v>1.2</v>
      </c>
      <c r="J9" s="64">
        <v>855.3</v>
      </c>
      <c r="K9" s="40">
        <v>0.75</v>
      </c>
      <c r="L9" s="33">
        <v>0.98</v>
      </c>
      <c r="M9" s="41">
        <f t="shared" si="0"/>
        <v>0.22999999999999998</v>
      </c>
      <c r="N9" s="33">
        <v>0</v>
      </c>
      <c r="O9" s="33">
        <v>0.02</v>
      </c>
      <c r="P9" s="41">
        <f t="shared" si="1"/>
        <v>0.02</v>
      </c>
      <c r="Q9" s="33">
        <v>0.25</v>
      </c>
      <c r="R9" s="33">
        <v>0</v>
      </c>
      <c r="S9" s="41">
        <f t="shared" si="2"/>
        <v>-0.25</v>
      </c>
    </row>
    <row r="10" spans="1:25" s="30" customFormat="1" ht="18.75" x14ac:dyDescent="0.25">
      <c r="C10" s="32"/>
      <c r="D10" s="38" t="s">
        <v>44</v>
      </c>
      <c r="E10" s="173"/>
      <c r="F10" s="174"/>
      <c r="G10" s="58">
        <v>75.8</v>
      </c>
      <c r="H10" s="63">
        <f>G10</f>
        <v>75.8</v>
      </c>
      <c r="I10" s="58">
        <v>33.299999999999997</v>
      </c>
      <c r="J10" s="64">
        <v>1185.9000000000001</v>
      </c>
      <c r="K10" s="40">
        <v>0.85</v>
      </c>
      <c r="L10" s="33">
        <v>0.99</v>
      </c>
      <c r="M10" s="41">
        <f t="shared" si="0"/>
        <v>0.14000000000000001</v>
      </c>
      <c r="N10" s="33">
        <v>0</v>
      </c>
      <c r="O10" s="33">
        <v>0.01</v>
      </c>
      <c r="P10" s="41">
        <f t="shared" si="1"/>
        <v>0.01</v>
      </c>
      <c r="Q10" s="33">
        <v>0.15</v>
      </c>
      <c r="R10" s="33">
        <v>0</v>
      </c>
      <c r="S10" s="41">
        <f t="shared" si="2"/>
        <v>-0.15</v>
      </c>
      <c r="T10" s="72"/>
    </row>
    <row r="11" spans="1:25" ht="18.75" x14ac:dyDescent="0.25">
      <c r="D11" s="38" t="s">
        <v>43</v>
      </c>
      <c r="E11" s="173"/>
      <c r="F11" s="174"/>
      <c r="G11" s="58">
        <v>89.5</v>
      </c>
      <c r="H11" s="63">
        <v>89.5</v>
      </c>
      <c r="I11" s="58">
        <v>2</v>
      </c>
      <c r="J11" s="64">
        <v>1482.9</v>
      </c>
      <c r="K11" s="40">
        <v>0.47</v>
      </c>
      <c r="L11" s="33">
        <v>0.97</v>
      </c>
      <c r="M11" s="41">
        <f t="shared" si="0"/>
        <v>0.5</v>
      </c>
      <c r="N11" s="33">
        <v>0</v>
      </c>
      <c r="O11" s="33">
        <v>0.03</v>
      </c>
      <c r="P11" s="41">
        <f t="shared" si="1"/>
        <v>0.03</v>
      </c>
      <c r="Q11" s="33">
        <v>0.53</v>
      </c>
      <c r="R11" s="33">
        <v>0</v>
      </c>
      <c r="S11" s="41">
        <f t="shared" si="2"/>
        <v>-0.53</v>
      </c>
    </row>
    <row r="12" spans="1:25" ht="18.75" x14ac:dyDescent="0.25">
      <c r="D12" s="38" t="s">
        <v>48</v>
      </c>
      <c r="E12" s="173"/>
      <c r="F12" s="174"/>
      <c r="G12" s="58">
        <v>46.1</v>
      </c>
      <c r="H12" s="63">
        <f>G12</f>
        <v>46.1</v>
      </c>
      <c r="I12" s="58">
        <v>66.599999999999994</v>
      </c>
      <c r="J12" s="64">
        <v>1504.1</v>
      </c>
      <c r="K12" s="40">
        <v>0.81</v>
      </c>
      <c r="L12" s="33">
        <v>0.98</v>
      </c>
      <c r="M12" s="41">
        <f t="shared" si="0"/>
        <v>0.16999999999999993</v>
      </c>
      <c r="N12" s="33">
        <v>0</v>
      </c>
      <c r="O12" s="33">
        <v>0.01</v>
      </c>
      <c r="P12" s="41">
        <f t="shared" si="1"/>
        <v>0.01</v>
      </c>
      <c r="Q12" s="33">
        <v>0.19</v>
      </c>
      <c r="R12" s="33">
        <v>0.01</v>
      </c>
      <c r="S12" s="41">
        <f t="shared" si="2"/>
        <v>-0.18</v>
      </c>
      <c r="T12" s="71"/>
    </row>
    <row r="13" spans="1:25" ht="18.75" x14ac:dyDescent="0.25">
      <c r="D13" s="38" t="s">
        <v>45</v>
      </c>
      <c r="E13" s="173"/>
      <c r="F13" s="174"/>
      <c r="G13" s="58">
        <v>73.400000000000006</v>
      </c>
      <c r="H13" s="63">
        <f>G13</f>
        <v>73.400000000000006</v>
      </c>
      <c r="I13" s="59">
        <v>34.299999999999997</v>
      </c>
      <c r="J13" s="64">
        <v>1813.6</v>
      </c>
      <c r="K13" s="40">
        <v>0.64</v>
      </c>
      <c r="L13" s="33">
        <v>0.98</v>
      </c>
      <c r="M13" s="41">
        <f t="shared" si="0"/>
        <v>0.33999999999999997</v>
      </c>
      <c r="N13" s="33">
        <v>0</v>
      </c>
      <c r="O13" s="33">
        <v>0.02</v>
      </c>
      <c r="P13" s="41">
        <f t="shared" si="1"/>
        <v>0.02</v>
      </c>
      <c r="Q13" s="33">
        <v>0.36</v>
      </c>
      <c r="R13" s="33">
        <v>0</v>
      </c>
      <c r="S13" s="41">
        <f t="shared" si="2"/>
        <v>-0.36</v>
      </c>
    </row>
    <row r="14" spans="1:25" ht="18.75" x14ac:dyDescent="0.25">
      <c r="D14" s="38" t="s">
        <v>53</v>
      </c>
      <c r="E14" s="173"/>
      <c r="F14" s="174"/>
      <c r="G14" s="58">
        <v>88.4</v>
      </c>
      <c r="H14" s="63">
        <f>G14</f>
        <v>88.4</v>
      </c>
      <c r="I14" s="58">
        <v>3.4</v>
      </c>
      <c r="J14" s="64">
        <v>2112.3000000000002</v>
      </c>
      <c r="K14" s="40">
        <v>0.21</v>
      </c>
      <c r="L14" s="33">
        <v>0.95</v>
      </c>
      <c r="M14" s="41">
        <f t="shared" si="0"/>
        <v>0.74</v>
      </c>
      <c r="N14" s="33">
        <v>0</v>
      </c>
      <c r="O14" s="33">
        <v>0.05</v>
      </c>
      <c r="P14" s="41">
        <f t="shared" si="1"/>
        <v>0.05</v>
      </c>
      <c r="Q14" s="33">
        <v>0.79</v>
      </c>
      <c r="R14" s="33">
        <v>0</v>
      </c>
      <c r="S14" s="41">
        <f t="shared" si="2"/>
        <v>-0.79</v>
      </c>
    </row>
    <row r="15" spans="1:25" ht="16.5" x14ac:dyDescent="0.25">
      <c r="D15" s="37" t="s">
        <v>52</v>
      </c>
      <c r="E15" s="173"/>
      <c r="F15" s="174"/>
      <c r="G15" s="58">
        <v>27.5</v>
      </c>
      <c r="H15" s="63">
        <v>55.1</v>
      </c>
      <c r="I15" s="58">
        <v>38</v>
      </c>
      <c r="J15" s="64">
        <v>855.4</v>
      </c>
      <c r="K15" s="40">
        <v>0.78</v>
      </c>
      <c r="L15" s="33">
        <v>0.98</v>
      </c>
      <c r="M15" s="41">
        <f>L15-K15</f>
        <v>0.19999999999999996</v>
      </c>
      <c r="N15" s="33">
        <v>0</v>
      </c>
      <c r="O15" s="33">
        <v>0.02</v>
      </c>
      <c r="P15" s="41">
        <f t="shared" si="1"/>
        <v>0.02</v>
      </c>
      <c r="Q15" s="33">
        <v>0.22</v>
      </c>
      <c r="R15" s="33">
        <v>0</v>
      </c>
      <c r="S15" s="41">
        <f t="shared" si="2"/>
        <v>-0.22</v>
      </c>
      <c r="T15" s="71"/>
    </row>
    <row r="16" spans="1:25" ht="18.75" x14ac:dyDescent="0.25">
      <c r="D16" s="38" t="s">
        <v>46</v>
      </c>
      <c r="E16" s="173"/>
      <c r="F16" s="174"/>
      <c r="G16" s="58">
        <v>94.8</v>
      </c>
      <c r="H16" s="63">
        <v>189.6</v>
      </c>
      <c r="I16" s="58">
        <v>110.5</v>
      </c>
      <c r="J16" s="64">
        <v>1377</v>
      </c>
      <c r="K16" s="40">
        <v>0.19</v>
      </c>
      <c r="L16" s="33">
        <v>0.88</v>
      </c>
      <c r="M16" s="41">
        <f>L16-K16</f>
        <v>0.69</v>
      </c>
      <c r="N16" s="33">
        <v>0</v>
      </c>
      <c r="O16" s="33">
        <v>0.06</v>
      </c>
      <c r="P16" s="41">
        <f t="shared" si="1"/>
        <v>0.06</v>
      </c>
      <c r="Q16" s="33">
        <v>0.81</v>
      </c>
      <c r="R16" s="33">
        <v>0.05</v>
      </c>
      <c r="S16" s="41">
        <f t="shared" si="2"/>
        <v>-0.76</v>
      </c>
      <c r="T16" s="71"/>
    </row>
    <row r="17" spans="4:20" ht="18.75" x14ac:dyDescent="0.25">
      <c r="D17" s="38" t="s">
        <v>47</v>
      </c>
      <c r="E17" s="173"/>
      <c r="F17" s="174"/>
      <c r="G17" s="58">
        <v>861.6</v>
      </c>
      <c r="H17" s="63">
        <f>G17*2</f>
        <v>1723.2</v>
      </c>
      <c r="I17" s="58">
        <v>417.7</v>
      </c>
      <c r="J17" s="64">
        <v>3217.6</v>
      </c>
      <c r="K17" s="40">
        <v>0.08</v>
      </c>
      <c r="L17" s="33">
        <v>0.5</v>
      </c>
      <c r="M17" s="41">
        <f>L17-K17</f>
        <v>0.42</v>
      </c>
      <c r="N17" s="33">
        <v>0</v>
      </c>
      <c r="O17" s="33">
        <v>0.49</v>
      </c>
      <c r="P17" s="41">
        <f t="shared" si="1"/>
        <v>0.49</v>
      </c>
      <c r="Q17" s="33">
        <v>0.92</v>
      </c>
      <c r="R17" s="33">
        <v>0.01</v>
      </c>
      <c r="S17" s="41">
        <f t="shared" si="2"/>
        <v>-0.91</v>
      </c>
      <c r="T17" s="35" t="s">
        <v>63</v>
      </c>
    </row>
    <row r="18" spans="4:20" x14ac:dyDescent="0.25">
      <c r="D18" s="38" t="s">
        <v>54</v>
      </c>
      <c r="E18" s="173"/>
      <c r="F18" s="174"/>
      <c r="G18" s="58">
        <v>48.1</v>
      </c>
      <c r="H18" s="63">
        <v>96.2</v>
      </c>
      <c r="I18" s="58">
        <v>260.5</v>
      </c>
      <c r="J18" s="64">
        <v>1748.1</v>
      </c>
      <c r="K18" s="33">
        <v>0.45</v>
      </c>
      <c r="L18" s="33">
        <v>0.97</v>
      </c>
      <c r="M18" s="41">
        <f>L18-K18</f>
        <v>0.52</v>
      </c>
      <c r="N18" s="33">
        <v>0</v>
      </c>
      <c r="O18" s="33">
        <v>0.03</v>
      </c>
      <c r="P18" s="41">
        <f t="shared" si="1"/>
        <v>0.03</v>
      </c>
      <c r="Q18" s="33">
        <v>0.55000000000000004</v>
      </c>
      <c r="R18" s="33">
        <v>0</v>
      </c>
      <c r="S18" s="41">
        <f t="shared" si="2"/>
        <v>-0.55000000000000004</v>
      </c>
      <c r="T18" s="71"/>
    </row>
    <row r="19" spans="4:20" x14ac:dyDescent="0.25">
      <c r="D19" s="38" t="s">
        <v>55</v>
      </c>
      <c r="E19" s="173"/>
      <c r="F19" s="174"/>
      <c r="G19" s="58">
        <v>41.8</v>
      </c>
      <c r="H19" s="63">
        <v>83.7</v>
      </c>
      <c r="I19" s="58">
        <v>272.39999999999998</v>
      </c>
      <c r="J19" s="64">
        <v>2376.5</v>
      </c>
      <c r="K19" s="40">
        <v>0.2</v>
      </c>
      <c r="L19" s="33">
        <v>0.94</v>
      </c>
      <c r="M19" s="41">
        <f>L19-K19</f>
        <v>0.74</v>
      </c>
      <c r="N19" s="33">
        <v>0</v>
      </c>
      <c r="O19" s="33">
        <v>0.05</v>
      </c>
      <c r="P19" s="41">
        <f t="shared" si="1"/>
        <v>0.05</v>
      </c>
      <c r="Q19" s="33">
        <v>0.8</v>
      </c>
      <c r="R19" s="33">
        <v>0</v>
      </c>
      <c r="S19" s="41">
        <f t="shared" si="2"/>
        <v>-0.8</v>
      </c>
      <c r="T19" s="71"/>
    </row>
    <row r="20" spans="4:20" x14ac:dyDescent="0.25">
      <c r="T20" s="71"/>
    </row>
    <row r="21" spans="4:20" x14ac:dyDescent="0.25">
      <c r="T21" s="69" t="s">
        <v>34</v>
      </c>
    </row>
  </sheetData>
  <mergeCells count="22">
    <mergeCell ref="V2:W2"/>
    <mergeCell ref="X2:Y2"/>
    <mergeCell ref="T1:T2"/>
    <mergeCell ref="D1:D2"/>
    <mergeCell ref="H1:H2"/>
    <mergeCell ref="Q1:S1"/>
    <mergeCell ref="K1:M1"/>
    <mergeCell ref="N1:P1"/>
    <mergeCell ref="E9:E19"/>
    <mergeCell ref="F9:F19"/>
    <mergeCell ref="B1:B2"/>
    <mergeCell ref="A1:A2"/>
    <mergeCell ref="J1:J2"/>
    <mergeCell ref="I1:I2"/>
    <mergeCell ref="E1:E2"/>
    <mergeCell ref="F1:F2"/>
    <mergeCell ref="G1:G2"/>
    <mergeCell ref="C1:C2"/>
    <mergeCell ref="E5:E6"/>
    <mergeCell ref="F5:F6"/>
    <mergeCell ref="E3:E4"/>
    <mergeCell ref="F3:F4"/>
  </mergeCells>
  <phoneticPr fontId="1" type="noConversion"/>
  <conditionalFormatting sqref="M9:M19">
    <cfRule type="cellIs" dxfId="1" priority="2" operator="greaterThan">
      <formula>0.45</formula>
    </cfRule>
    <cfRule type="cellIs" priority="3" operator="greaterThan">
      <formula>0.45</formula>
    </cfRule>
  </conditionalFormatting>
  <conditionalFormatting sqref="M9:M20">
    <cfRule type="cellIs" dxfId="0" priority="1" operator="greaterThan">
      <formula>$M$8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213B-BB65-498C-AA64-42693820505C}">
  <dimension ref="A1:K11"/>
  <sheetViews>
    <sheetView zoomScale="160" zoomScaleNormal="160" workbookViewId="0">
      <selection activeCell="D16" sqref="D16"/>
    </sheetView>
  </sheetViews>
  <sheetFormatPr defaultRowHeight="14.25" x14ac:dyDescent="0.2"/>
  <cols>
    <col min="1" max="1" width="15.85546875" style="17" customWidth="1"/>
    <col min="2" max="2" width="11.85546875" style="17" bestFit="1" customWidth="1"/>
    <col min="3" max="3" width="13" style="17" customWidth="1"/>
    <col min="4" max="4" width="16.140625" style="17" customWidth="1"/>
    <col min="5" max="5" width="10.5703125" style="17" customWidth="1"/>
    <col min="6" max="16384" width="9.140625" style="17"/>
  </cols>
  <sheetData>
    <row r="1" spans="1:11" ht="15" x14ac:dyDescent="0.2">
      <c r="A1" s="185" t="s">
        <v>6</v>
      </c>
      <c r="B1" s="185" t="s">
        <v>1</v>
      </c>
      <c r="C1" s="186" t="s">
        <v>0</v>
      </c>
      <c r="D1" s="186" t="s">
        <v>11</v>
      </c>
      <c r="E1" s="186" t="s">
        <v>20</v>
      </c>
      <c r="F1" s="193" t="s">
        <v>2</v>
      </c>
      <c r="G1" s="193"/>
      <c r="H1" s="187" t="s">
        <v>4</v>
      </c>
      <c r="I1" s="187"/>
      <c r="J1" s="188" t="s">
        <v>3</v>
      </c>
      <c r="K1" s="188"/>
    </row>
    <row r="2" spans="1:11" ht="15" x14ac:dyDescent="0.2">
      <c r="A2" s="185"/>
      <c r="B2" s="185"/>
      <c r="C2" s="186"/>
      <c r="D2" s="186"/>
      <c r="E2" s="186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ht="16.5" customHeight="1" x14ac:dyDescent="0.2">
      <c r="A3" s="189" t="s">
        <v>10</v>
      </c>
      <c r="B3" s="13" t="s">
        <v>9</v>
      </c>
      <c r="C3" s="189">
        <v>1550</v>
      </c>
      <c r="D3" s="189" t="s">
        <v>26</v>
      </c>
      <c r="E3" s="13">
        <v>52</v>
      </c>
      <c r="F3" s="14">
        <v>0.48</v>
      </c>
      <c r="G3" s="14">
        <v>0.16</v>
      </c>
      <c r="H3" s="15" t="s">
        <v>5</v>
      </c>
      <c r="I3" s="15" t="s">
        <v>5</v>
      </c>
      <c r="J3" s="16" t="s">
        <v>5</v>
      </c>
      <c r="K3" s="16" t="s">
        <v>5</v>
      </c>
    </row>
    <row r="4" spans="1:11" ht="15" customHeight="1" x14ac:dyDescent="0.2">
      <c r="A4" s="190"/>
      <c r="B4" s="19" t="s">
        <v>12</v>
      </c>
      <c r="C4" s="190"/>
      <c r="D4" s="192"/>
      <c r="E4" s="18">
        <v>52</v>
      </c>
      <c r="F4" s="27">
        <v>0.56000000000000005</v>
      </c>
      <c r="G4" s="27">
        <v>0.11</v>
      </c>
      <c r="H4" s="28">
        <v>0.44</v>
      </c>
      <c r="I4" s="28">
        <v>0.38</v>
      </c>
      <c r="J4" s="29">
        <v>0</v>
      </c>
      <c r="K4" s="29">
        <v>0.51</v>
      </c>
    </row>
    <row r="5" spans="1:11" ht="15" customHeight="1" x14ac:dyDescent="0.2">
      <c r="A5" s="190"/>
      <c r="B5" s="19" t="s">
        <v>13</v>
      </c>
      <c r="C5" s="190"/>
      <c r="D5" s="19" t="s">
        <v>14</v>
      </c>
      <c r="E5" s="19">
        <f>2.6*2</f>
        <v>5.2</v>
      </c>
      <c r="F5" s="20">
        <v>0.41</v>
      </c>
      <c r="G5" s="20">
        <v>0.04</v>
      </c>
      <c r="H5" s="21">
        <v>0.59</v>
      </c>
      <c r="I5" s="21">
        <v>0.28999999999999998</v>
      </c>
      <c r="J5" s="22">
        <v>0</v>
      </c>
      <c r="K5" s="22">
        <v>0.67</v>
      </c>
    </row>
    <row r="6" spans="1:11" ht="15.75" customHeight="1" thickBot="1" x14ac:dyDescent="0.25">
      <c r="A6" s="191"/>
      <c r="B6" s="23" t="s">
        <v>18</v>
      </c>
      <c r="C6" s="191"/>
      <c r="D6" s="23" t="s">
        <v>15</v>
      </c>
      <c r="E6" s="23">
        <f>6.6*2</f>
        <v>13.2</v>
      </c>
      <c r="F6" s="24">
        <v>0.41</v>
      </c>
      <c r="G6" s="24">
        <v>0.04</v>
      </c>
      <c r="H6" s="25">
        <v>0.59</v>
      </c>
      <c r="I6" s="25">
        <v>0.28999999999999998</v>
      </c>
      <c r="J6" s="26">
        <v>0</v>
      </c>
      <c r="K6" s="26">
        <v>0.66</v>
      </c>
    </row>
    <row r="7" spans="1:11" ht="16.5" customHeight="1" x14ac:dyDescent="0.2">
      <c r="A7" s="182" t="s">
        <v>23</v>
      </c>
      <c r="B7" s="3" t="s">
        <v>22</v>
      </c>
      <c r="C7" s="182">
        <v>1320</v>
      </c>
      <c r="D7" s="182" t="s">
        <v>24</v>
      </c>
      <c r="E7" s="3">
        <v>100</v>
      </c>
      <c r="F7" s="10">
        <v>0.23</v>
      </c>
      <c r="G7" s="10">
        <v>0.05</v>
      </c>
      <c r="H7" s="11" t="s">
        <v>5</v>
      </c>
      <c r="I7" s="11" t="s">
        <v>5</v>
      </c>
      <c r="J7" s="12" t="s">
        <v>5</v>
      </c>
      <c r="K7" s="12" t="s">
        <v>5</v>
      </c>
    </row>
    <row r="8" spans="1:11" ht="15" x14ac:dyDescent="0.2">
      <c r="A8" s="183"/>
      <c r="B8" s="2" t="s">
        <v>12</v>
      </c>
      <c r="C8" s="183"/>
      <c r="D8" s="184"/>
      <c r="E8" s="1">
        <v>100</v>
      </c>
      <c r="F8" s="7">
        <v>0.17</v>
      </c>
      <c r="G8" s="7">
        <v>0.02</v>
      </c>
      <c r="H8" s="8">
        <v>0.15</v>
      </c>
      <c r="I8" s="8">
        <v>0.19</v>
      </c>
      <c r="J8" s="9">
        <v>0.67</v>
      </c>
      <c r="K8" s="9">
        <v>0.79</v>
      </c>
    </row>
    <row r="9" spans="1:11" x14ac:dyDescent="0.2">
      <c r="A9" s="183"/>
      <c r="B9" s="2" t="s">
        <v>13</v>
      </c>
      <c r="C9" s="183"/>
      <c r="D9" s="2" t="s">
        <v>15</v>
      </c>
      <c r="E9" s="2">
        <f>3.5*2</f>
        <v>7</v>
      </c>
      <c r="F9" s="4">
        <v>0.41</v>
      </c>
      <c r="G9" s="4">
        <v>0.08</v>
      </c>
      <c r="H9" s="5">
        <v>0.59</v>
      </c>
      <c r="I9" s="5">
        <v>0.4</v>
      </c>
      <c r="J9" s="6">
        <v>0</v>
      </c>
      <c r="K9" s="6">
        <v>0.51</v>
      </c>
    </row>
    <row r="10" spans="1:11" x14ac:dyDescent="0.2">
      <c r="A10" s="183"/>
      <c r="B10" s="2" t="s">
        <v>17</v>
      </c>
      <c r="C10" s="183"/>
      <c r="D10" s="2" t="s">
        <v>25</v>
      </c>
      <c r="E10" s="2">
        <f>13.9*2</f>
        <v>27.8</v>
      </c>
      <c r="F10" s="4">
        <v>0.16</v>
      </c>
      <c r="G10" s="4">
        <v>0.03</v>
      </c>
      <c r="H10" s="5">
        <v>0.83</v>
      </c>
      <c r="I10" s="5">
        <v>0.36</v>
      </c>
      <c r="J10" s="6">
        <v>0</v>
      </c>
      <c r="K10" s="6">
        <v>0.62</v>
      </c>
    </row>
    <row r="11" spans="1:11" x14ac:dyDescent="0.2">
      <c r="A11" s="184"/>
      <c r="B11" s="2" t="s">
        <v>18</v>
      </c>
      <c r="C11" s="184"/>
      <c r="D11" s="2" t="s">
        <v>21</v>
      </c>
      <c r="E11" s="2">
        <f>8.5*2</f>
        <v>17</v>
      </c>
      <c r="F11" s="4">
        <v>0.38</v>
      </c>
      <c r="G11" s="4">
        <v>7.0000000000000007E-2</v>
      </c>
      <c r="H11" s="5">
        <v>0.62</v>
      </c>
      <c r="I11" s="5">
        <v>0.39</v>
      </c>
      <c r="J11" s="6">
        <v>0</v>
      </c>
      <c r="K11" s="6">
        <v>0.54</v>
      </c>
    </row>
  </sheetData>
  <mergeCells count="14">
    <mergeCell ref="H1:I1"/>
    <mergeCell ref="J1:K1"/>
    <mergeCell ref="C3:C6"/>
    <mergeCell ref="D3:D4"/>
    <mergeCell ref="A3:A6"/>
    <mergeCell ref="E1:E2"/>
    <mergeCell ref="F1:G1"/>
    <mergeCell ref="A7:A11"/>
    <mergeCell ref="C7:C11"/>
    <mergeCell ref="D7:D8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9731-60AB-4D94-B991-690660612702}">
  <dimension ref="A1:K7"/>
  <sheetViews>
    <sheetView workbookViewId="0">
      <selection activeCell="G25" sqref="G25"/>
    </sheetView>
  </sheetViews>
  <sheetFormatPr defaultRowHeight="15" x14ac:dyDescent="0.25"/>
  <cols>
    <col min="1" max="1" width="14.85546875" bestFit="1" customWidth="1"/>
    <col min="2" max="2" width="11.85546875" bestFit="1" customWidth="1"/>
    <col min="3" max="3" width="13" customWidth="1"/>
    <col min="4" max="4" width="16" bestFit="1" customWidth="1"/>
    <col min="5" max="5" width="10" customWidth="1"/>
  </cols>
  <sheetData>
    <row r="1" spans="1:11" x14ac:dyDescent="0.25">
      <c r="A1" s="185" t="s">
        <v>6</v>
      </c>
      <c r="B1" s="185" t="s">
        <v>1</v>
      </c>
      <c r="C1" s="186" t="s">
        <v>0</v>
      </c>
      <c r="D1" s="186" t="s">
        <v>11</v>
      </c>
      <c r="E1" s="186" t="s">
        <v>20</v>
      </c>
      <c r="F1" s="193" t="s">
        <v>2</v>
      </c>
      <c r="G1" s="193"/>
      <c r="H1" s="187" t="s">
        <v>4</v>
      </c>
      <c r="I1" s="187"/>
      <c r="J1" s="188" t="s">
        <v>3</v>
      </c>
      <c r="K1" s="188"/>
    </row>
    <row r="2" spans="1:11" ht="15.75" thickBot="1" x14ac:dyDescent="0.3">
      <c r="A2" s="185"/>
      <c r="B2" s="185"/>
      <c r="C2" s="186"/>
      <c r="D2" s="186"/>
      <c r="E2" s="186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x14ac:dyDescent="0.25">
      <c r="A3" s="182" t="s">
        <v>23</v>
      </c>
      <c r="B3" s="3" t="s">
        <v>22</v>
      </c>
      <c r="C3" s="182">
        <v>1320</v>
      </c>
      <c r="D3" s="182" t="s">
        <v>24</v>
      </c>
      <c r="E3" s="3">
        <v>100</v>
      </c>
      <c r="F3" s="10">
        <v>0.23</v>
      </c>
      <c r="G3" s="10">
        <v>0.05</v>
      </c>
      <c r="H3" s="11" t="s">
        <v>5</v>
      </c>
      <c r="I3" s="11" t="s">
        <v>5</v>
      </c>
      <c r="J3" s="12" t="s">
        <v>5</v>
      </c>
      <c r="K3" s="12" t="s">
        <v>5</v>
      </c>
    </row>
    <row r="4" spans="1:11" x14ac:dyDescent="0.25">
      <c r="A4" s="183"/>
      <c r="B4" s="2" t="s">
        <v>12</v>
      </c>
      <c r="C4" s="183"/>
      <c r="D4" s="184"/>
      <c r="E4" s="1">
        <v>100</v>
      </c>
      <c r="F4" s="7">
        <v>0.17</v>
      </c>
      <c r="G4" s="7">
        <v>0.02</v>
      </c>
      <c r="H4" s="8">
        <v>0.15</v>
      </c>
      <c r="I4" s="8">
        <v>0.19</v>
      </c>
      <c r="J4" s="9">
        <v>0.67</v>
      </c>
      <c r="K4" s="9">
        <v>0.79</v>
      </c>
    </row>
    <row r="5" spans="1:11" x14ac:dyDescent="0.25">
      <c r="A5" s="183"/>
      <c r="B5" s="2" t="s">
        <v>13</v>
      </c>
      <c r="C5" s="183"/>
      <c r="D5" s="2" t="s">
        <v>15</v>
      </c>
      <c r="E5" s="2">
        <f>3.5*2</f>
        <v>7</v>
      </c>
      <c r="F5" s="4">
        <v>0.41</v>
      </c>
      <c r="G5" s="4">
        <v>0.08</v>
      </c>
      <c r="H5" s="5">
        <v>0.59</v>
      </c>
      <c r="I5" s="5">
        <v>0.4</v>
      </c>
      <c r="J5" s="6">
        <v>0</v>
      </c>
      <c r="K5" s="6">
        <v>0.51</v>
      </c>
    </row>
    <row r="6" spans="1:11" x14ac:dyDescent="0.25">
      <c r="A6" s="183"/>
      <c r="B6" s="2" t="s">
        <v>17</v>
      </c>
      <c r="C6" s="183"/>
      <c r="D6" s="2" t="s">
        <v>25</v>
      </c>
      <c r="E6" s="2">
        <f>13.9*2</f>
        <v>27.8</v>
      </c>
      <c r="F6" s="4">
        <v>0.16</v>
      </c>
      <c r="G6" s="4">
        <v>0.03</v>
      </c>
      <c r="H6" s="5">
        <v>0.83</v>
      </c>
      <c r="I6" s="5">
        <v>0.36</v>
      </c>
      <c r="J6" s="6">
        <v>0</v>
      </c>
      <c r="K6" s="6">
        <v>0.62</v>
      </c>
    </row>
    <row r="7" spans="1:11" x14ac:dyDescent="0.25">
      <c r="A7" s="184"/>
      <c r="B7" s="2" t="s">
        <v>18</v>
      </c>
      <c r="C7" s="184"/>
      <c r="D7" s="2" t="s">
        <v>21</v>
      </c>
      <c r="E7" s="2">
        <f>8.5*2</f>
        <v>17</v>
      </c>
      <c r="F7" s="4">
        <v>0.38</v>
      </c>
      <c r="G7" s="4">
        <v>7.0000000000000007E-2</v>
      </c>
      <c r="H7" s="5">
        <v>0.62</v>
      </c>
      <c r="I7" s="5">
        <v>0.39</v>
      </c>
      <c r="J7" s="6">
        <v>0</v>
      </c>
      <c r="K7" s="6">
        <v>0.54</v>
      </c>
    </row>
  </sheetData>
  <mergeCells count="11">
    <mergeCell ref="H1:I1"/>
    <mergeCell ref="J1:K1"/>
    <mergeCell ref="D3:D4"/>
    <mergeCell ref="A3:A7"/>
    <mergeCell ref="C3:C7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532_back</vt:lpstr>
      <vt:lpstr>1064_back</vt:lpstr>
      <vt:lpstr>1550_back</vt:lpstr>
      <vt:lpstr>532</vt:lpstr>
      <vt:lpstr>600</vt:lpstr>
      <vt:lpstr>700</vt:lpstr>
      <vt:lpstr>800</vt:lpstr>
      <vt:lpstr>1064</vt:lpstr>
      <vt:lpstr>Amorphous phase</vt:lpstr>
      <vt:lpstr>Crystalline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Chettanat Padungatthakij</dc:creator>
  <cp:lastModifiedBy>Chettanat Padungatthakij</cp:lastModifiedBy>
  <dcterms:created xsi:type="dcterms:W3CDTF">2015-06-05T18:17:20Z</dcterms:created>
  <dcterms:modified xsi:type="dcterms:W3CDTF">2026-06-11T13:51:08Z</dcterms:modified>
</cp:coreProperties>
</file>